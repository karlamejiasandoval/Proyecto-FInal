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b5a8fb44af9d505/Desktop/"/>
    </mc:Choice>
  </mc:AlternateContent>
  <xr:revisionPtr revIDLastSave="86" documentId="8_{AA924D25-1483-48B0-9EDB-BD676C0AF9ED}" xr6:coauthVersionLast="47" xr6:coauthVersionMax="47" xr10:uidLastSave="{9E1026D7-0DEC-4866-BB06-DCD603BA7F04}"/>
  <bookViews>
    <workbookView xWindow="-110" yWindow="-110" windowWidth="19420" windowHeight="12220" activeTab="2" xr2:uid="{275D5E3D-18F1-48B0-A647-458B35353DC8}"/>
  </bookViews>
  <sheets>
    <sheet name="T.MORTALIDAD-F" sheetId="2" r:id="rId1"/>
    <sheet name="T.MORTALIDAD-M" sheetId="3" r:id="rId2"/>
    <sheet name="COMPARACIÓN"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8" i="3" l="1"/>
  <c r="G18" i="3" s="1"/>
  <c r="H18" i="3" s="1"/>
  <c r="E17" i="3"/>
  <c r="G17" i="3" s="1"/>
  <c r="H17" i="3" s="1"/>
  <c r="E16" i="3"/>
  <c r="G16" i="3" s="1"/>
  <c r="H16" i="3" s="1"/>
  <c r="E15" i="3"/>
  <c r="G15" i="3" s="1"/>
  <c r="H15" i="3" s="1"/>
  <c r="E14" i="3"/>
  <c r="G14" i="3" s="1"/>
  <c r="H14" i="3" s="1"/>
  <c r="E13" i="3"/>
  <c r="G13" i="3" s="1"/>
  <c r="H13" i="3" s="1"/>
  <c r="E12" i="3"/>
  <c r="G12" i="3" s="1"/>
  <c r="H12" i="3" s="1"/>
  <c r="E11" i="3"/>
  <c r="G11" i="3" s="1"/>
  <c r="H11" i="3" s="1"/>
  <c r="E6" i="3"/>
  <c r="G6" i="3" s="1"/>
  <c r="H6" i="3" s="1"/>
  <c r="E5" i="3"/>
  <c r="E4" i="3"/>
  <c r="F5" i="3" s="1"/>
  <c r="H22" i="3"/>
  <c r="E22" i="3"/>
  <c r="E21" i="3"/>
  <c r="G21" i="3" s="1"/>
  <c r="H21" i="3" s="1"/>
  <c r="E20" i="3"/>
  <c r="G20" i="3" s="1"/>
  <c r="H20" i="3" s="1"/>
  <c r="E19" i="3"/>
  <c r="G19" i="3" s="1"/>
  <c r="H19" i="3" s="1"/>
  <c r="E10" i="3"/>
  <c r="G10" i="3" s="1"/>
  <c r="H10" i="3" s="1"/>
  <c r="E9" i="3"/>
  <c r="G9" i="3" s="1"/>
  <c r="H9" i="3" s="1"/>
  <c r="E8" i="3"/>
  <c r="G8" i="3" s="1"/>
  <c r="H8" i="3" s="1"/>
  <c r="E7" i="3"/>
  <c r="G7" i="3" s="1"/>
  <c r="H7" i="3" s="1"/>
  <c r="I4" i="3"/>
  <c r="H22" i="2"/>
  <c r="E22" i="2"/>
  <c r="E21" i="2"/>
  <c r="G21" i="2" s="1"/>
  <c r="H21" i="2" s="1"/>
  <c r="E20" i="2"/>
  <c r="G20" i="2" s="1"/>
  <c r="H20" i="2" s="1"/>
  <c r="E19" i="2"/>
  <c r="G19" i="2" s="1"/>
  <c r="H19" i="2" s="1"/>
  <c r="E18" i="2"/>
  <c r="G18" i="2" s="1"/>
  <c r="H18" i="2" s="1"/>
  <c r="E17" i="2"/>
  <c r="G17" i="2" s="1"/>
  <c r="H17" i="2" s="1"/>
  <c r="E16" i="2"/>
  <c r="G16" i="2" s="1"/>
  <c r="H16" i="2" s="1"/>
  <c r="E15" i="2"/>
  <c r="G15" i="2" s="1"/>
  <c r="H15" i="2" s="1"/>
  <c r="E14" i="2"/>
  <c r="G14" i="2" s="1"/>
  <c r="H14" i="2" s="1"/>
  <c r="E13" i="2"/>
  <c r="G13" i="2" s="1"/>
  <c r="H13" i="2" s="1"/>
  <c r="E12" i="2"/>
  <c r="G12" i="2" s="1"/>
  <c r="H12" i="2" s="1"/>
  <c r="E11" i="2"/>
  <c r="G11" i="2" s="1"/>
  <c r="H11" i="2" s="1"/>
  <c r="E10" i="2"/>
  <c r="G10" i="2" s="1"/>
  <c r="H10" i="2" s="1"/>
  <c r="E9" i="2"/>
  <c r="G9" i="2" s="1"/>
  <c r="H9" i="2" s="1"/>
  <c r="E8" i="2"/>
  <c r="G8" i="2" s="1"/>
  <c r="H8" i="2" s="1"/>
  <c r="E7" i="2"/>
  <c r="G7" i="2" s="1"/>
  <c r="H7" i="2" s="1"/>
  <c r="E6" i="2"/>
  <c r="G6" i="2" s="1"/>
  <c r="H6" i="2" s="1"/>
  <c r="E5" i="2"/>
  <c r="I4" i="2"/>
  <c r="E4" i="2"/>
  <c r="F4" i="2" s="1"/>
  <c r="G5" i="3" l="1"/>
  <c r="H5" i="3" s="1"/>
  <c r="F4" i="3"/>
  <c r="G4" i="3" s="1"/>
  <c r="H4" i="3" s="1"/>
  <c r="I5" i="3" s="1"/>
  <c r="F5" i="2"/>
  <c r="G5" i="2"/>
  <c r="H5" i="2" s="1"/>
  <c r="G4" i="2"/>
  <c r="H4" i="2" s="1"/>
  <c r="I5" i="2" s="1"/>
  <c r="I6" i="3" l="1"/>
  <c r="J4" i="3"/>
  <c r="K4" i="3" s="1"/>
  <c r="I6" i="2"/>
  <c r="J4" i="2"/>
  <c r="K4" i="2" s="1"/>
  <c r="I7" i="3" l="1"/>
  <c r="J6" i="3"/>
  <c r="J5" i="3"/>
  <c r="K5" i="3" s="1"/>
  <c r="I7" i="2"/>
  <c r="J6" i="2"/>
  <c r="J5" i="2"/>
  <c r="K5" i="2" s="1"/>
  <c r="I8" i="3" l="1"/>
  <c r="J7" i="3"/>
  <c r="K6" i="3"/>
  <c r="I8" i="2"/>
  <c r="J7" i="2" s="1"/>
  <c r="K6" i="2"/>
  <c r="K7" i="3" l="1"/>
  <c r="I9" i="3"/>
  <c r="K7" i="2"/>
  <c r="I9" i="2"/>
  <c r="I10" i="3" l="1"/>
  <c r="J9" i="3"/>
  <c r="J8" i="3"/>
  <c r="K8" i="3" s="1"/>
  <c r="I10" i="2"/>
  <c r="J8" i="2"/>
  <c r="K8" i="2" s="1"/>
  <c r="K9" i="3" l="1"/>
  <c r="I11" i="3"/>
  <c r="I11" i="2"/>
  <c r="J9" i="2"/>
  <c r="K9" i="2" s="1"/>
  <c r="I12" i="3" l="1"/>
  <c r="J10" i="3"/>
  <c r="K10" i="3" s="1"/>
  <c r="I12" i="2"/>
  <c r="J10" i="2"/>
  <c r="K10" i="2" s="1"/>
  <c r="I13" i="3" l="1"/>
  <c r="J11" i="3"/>
  <c r="K11" i="3" s="1"/>
  <c r="I13" i="2"/>
  <c r="J11" i="2"/>
  <c r="K11" i="2" s="1"/>
  <c r="I14" i="3" l="1"/>
  <c r="J12" i="3"/>
  <c r="K12" i="3" s="1"/>
  <c r="I14" i="2"/>
  <c r="J12" i="2"/>
  <c r="K12" i="2" s="1"/>
  <c r="I15" i="3" l="1"/>
  <c r="J13" i="3"/>
  <c r="K13" i="3" s="1"/>
  <c r="I15" i="2"/>
  <c r="J13" i="2"/>
  <c r="K13" i="2" s="1"/>
  <c r="I16" i="3" l="1"/>
  <c r="J15" i="3"/>
  <c r="J14" i="3"/>
  <c r="K14" i="3" s="1"/>
  <c r="I16" i="2"/>
  <c r="J15" i="2"/>
  <c r="J14" i="2"/>
  <c r="K14" i="2" s="1"/>
  <c r="I17" i="3" l="1"/>
  <c r="K15" i="3"/>
  <c r="I17" i="2"/>
  <c r="J16" i="2" s="1"/>
  <c r="K15" i="2"/>
  <c r="I18" i="3" l="1"/>
  <c r="J16" i="3"/>
  <c r="K16" i="3" s="1"/>
  <c r="K16" i="2"/>
  <c r="I18" i="2"/>
  <c r="I19" i="3" l="1"/>
  <c r="J18" i="3"/>
  <c r="J17" i="3"/>
  <c r="K17" i="3" s="1"/>
  <c r="I19" i="2"/>
  <c r="J18" i="2" s="1"/>
  <c r="J17" i="2"/>
  <c r="K17" i="2" s="1"/>
  <c r="K18" i="3" l="1"/>
  <c r="I20" i="3"/>
  <c r="I20" i="2"/>
  <c r="J19" i="2" s="1"/>
  <c r="K18" i="2"/>
  <c r="I21" i="3" l="1"/>
  <c r="J19" i="3"/>
  <c r="K19" i="3" s="1"/>
  <c r="K19" i="2"/>
  <c r="I21" i="2"/>
  <c r="I22" i="3" l="1"/>
  <c r="J21" i="3"/>
  <c r="J20" i="3"/>
  <c r="K20" i="3" s="1"/>
  <c r="I22" i="2"/>
  <c r="J21" i="2" s="1"/>
  <c r="J20" i="2"/>
  <c r="K20" i="2" s="1"/>
  <c r="J22" i="3" l="1"/>
  <c r="K22" i="3"/>
  <c r="L22" i="3" s="1"/>
  <c r="M22" i="3" s="1"/>
  <c r="K21" i="3"/>
  <c r="L21" i="3" s="1"/>
  <c r="M21" i="3" s="1"/>
  <c r="K21" i="2"/>
  <c r="K22" i="2"/>
  <c r="L22" i="2" s="1"/>
  <c r="M22" i="2" s="1"/>
  <c r="J22" i="2"/>
  <c r="L20" i="3" l="1"/>
  <c r="L21" i="2"/>
  <c r="M20" i="3" l="1"/>
  <c r="L19" i="3"/>
  <c r="M21" i="2"/>
  <c r="L20" i="2"/>
  <c r="M19" i="3" l="1"/>
  <c r="L18" i="3"/>
  <c r="M20" i="2"/>
  <c r="L19" i="2"/>
  <c r="M18" i="3" l="1"/>
  <c r="L17" i="3"/>
  <c r="M19" i="2"/>
  <c r="L18" i="2"/>
  <c r="M17" i="3" l="1"/>
  <c r="L16" i="3"/>
  <c r="M18" i="2"/>
  <c r="L17" i="2"/>
  <c r="M16" i="3" l="1"/>
  <c r="L15" i="3"/>
  <c r="M17" i="2"/>
  <c r="L16" i="2"/>
  <c r="M15" i="3" l="1"/>
  <c r="L14" i="3"/>
  <c r="M16" i="2"/>
  <c r="L15" i="2"/>
  <c r="M14" i="3" l="1"/>
  <c r="L13" i="3"/>
  <c r="M15" i="2"/>
  <c r="L14" i="2"/>
  <c r="M13" i="3" l="1"/>
  <c r="L12" i="3"/>
  <c r="M14" i="2"/>
  <c r="L13" i="2"/>
  <c r="M12" i="3" l="1"/>
  <c r="L11" i="3"/>
  <c r="M13" i="2"/>
  <c r="L12" i="2"/>
  <c r="M11" i="3" l="1"/>
  <c r="L10" i="3"/>
  <c r="M12" i="2"/>
  <c r="L11" i="2"/>
  <c r="M10" i="3" l="1"/>
  <c r="L9" i="3"/>
  <c r="M11" i="2"/>
  <c r="L10" i="2"/>
  <c r="M9" i="3" l="1"/>
  <c r="L8" i="3"/>
  <c r="M10" i="2"/>
  <c r="L9" i="2"/>
  <c r="M8" i="3" l="1"/>
  <c r="L7" i="3"/>
  <c r="M9" i="2"/>
  <c r="L8" i="2"/>
  <c r="M7" i="3" l="1"/>
  <c r="L6" i="3"/>
  <c r="M8" i="2"/>
  <c r="L7" i="2"/>
  <c r="M6" i="3" l="1"/>
  <c r="L5" i="3"/>
  <c r="M7" i="2"/>
  <c r="L6" i="2"/>
  <c r="M5" i="3" l="1"/>
  <c r="L4" i="3"/>
  <c r="M4" i="3" s="1"/>
  <c r="M6" i="2"/>
  <c r="L5" i="2"/>
  <c r="M5" i="2" l="1"/>
  <c r="L4" i="2"/>
  <c r="M4" i="2" s="1"/>
</calcChain>
</file>

<file path=xl/sharedStrings.xml><?xml version="1.0" encoding="utf-8"?>
<sst xmlns="http://schemas.openxmlformats.org/spreadsheetml/2006/main" count="35" uniqueCount="20">
  <si>
    <t>x (edad)</t>
  </si>
  <si>
    <t>n</t>
  </si>
  <si>
    <r>
      <rPr>
        <b/>
        <vertAlign val="subscript"/>
        <sz val="11"/>
        <rFont val="Cambria"/>
        <family val="1"/>
      </rPr>
      <t>n</t>
    </r>
    <r>
      <rPr>
        <b/>
        <sz val="11"/>
        <rFont val="Cambria"/>
        <family val="1"/>
      </rPr>
      <t>N</t>
    </r>
    <r>
      <rPr>
        <b/>
        <vertAlign val="subscript"/>
        <sz val="11"/>
        <rFont val="Cambria"/>
        <family val="1"/>
      </rPr>
      <t>x</t>
    </r>
  </si>
  <si>
    <r>
      <rPr>
        <b/>
        <vertAlign val="subscript"/>
        <sz val="11"/>
        <rFont val="Cambria"/>
        <family val="1"/>
      </rPr>
      <t>n</t>
    </r>
    <r>
      <rPr>
        <b/>
        <sz val="11"/>
        <rFont val="Cambria"/>
        <family val="1"/>
      </rPr>
      <t>D</t>
    </r>
    <r>
      <rPr>
        <b/>
        <vertAlign val="subscript"/>
        <sz val="11"/>
        <rFont val="Cambria"/>
        <family val="1"/>
      </rPr>
      <t>x</t>
    </r>
  </si>
  <si>
    <r>
      <rPr>
        <b/>
        <vertAlign val="subscript"/>
        <sz val="11"/>
        <rFont val="Cambria"/>
        <family val="1"/>
      </rPr>
      <t>n</t>
    </r>
    <r>
      <rPr>
        <b/>
        <sz val="11"/>
        <rFont val="Cambria"/>
        <family val="1"/>
      </rPr>
      <t>m</t>
    </r>
    <r>
      <rPr>
        <b/>
        <vertAlign val="subscript"/>
        <sz val="11"/>
        <rFont val="Cambria"/>
        <family val="1"/>
      </rPr>
      <t>x</t>
    </r>
  </si>
  <si>
    <r>
      <rPr>
        <b/>
        <vertAlign val="subscript"/>
        <sz val="11"/>
        <rFont val="Cambria"/>
        <family val="1"/>
      </rPr>
      <t>n</t>
    </r>
    <r>
      <rPr>
        <b/>
        <sz val="11"/>
        <rFont val="Cambria"/>
        <family val="1"/>
      </rPr>
      <t>a</t>
    </r>
    <r>
      <rPr>
        <b/>
        <vertAlign val="subscript"/>
        <sz val="11"/>
        <rFont val="Cambria"/>
        <family val="1"/>
      </rPr>
      <t>x</t>
    </r>
  </si>
  <si>
    <r>
      <rPr>
        <b/>
        <vertAlign val="subscript"/>
        <sz val="11"/>
        <rFont val="Cambria"/>
        <family val="1"/>
      </rPr>
      <t>n</t>
    </r>
    <r>
      <rPr>
        <b/>
        <sz val="11"/>
        <rFont val="Cambria"/>
        <family val="1"/>
      </rPr>
      <t>q</t>
    </r>
    <r>
      <rPr>
        <b/>
        <vertAlign val="subscript"/>
        <sz val="11"/>
        <rFont val="Cambria"/>
        <family val="1"/>
      </rPr>
      <t>x</t>
    </r>
  </si>
  <si>
    <r>
      <rPr>
        <b/>
        <vertAlign val="subscript"/>
        <sz val="11"/>
        <rFont val="Cambria"/>
        <family val="1"/>
      </rPr>
      <t>n</t>
    </r>
    <r>
      <rPr>
        <b/>
        <sz val="11"/>
        <rFont val="Cambria"/>
        <family val="1"/>
      </rPr>
      <t>p</t>
    </r>
    <r>
      <rPr>
        <b/>
        <vertAlign val="subscript"/>
        <sz val="11"/>
        <rFont val="Cambria"/>
        <family val="1"/>
      </rPr>
      <t>x</t>
    </r>
  </si>
  <si>
    <r>
      <t>l</t>
    </r>
    <r>
      <rPr>
        <b/>
        <vertAlign val="subscript"/>
        <sz val="11"/>
        <rFont val="Cambria"/>
        <family val="1"/>
      </rPr>
      <t>x</t>
    </r>
  </si>
  <si>
    <r>
      <rPr>
        <b/>
        <vertAlign val="subscript"/>
        <sz val="11"/>
        <rFont val="Cambria"/>
        <family val="1"/>
      </rPr>
      <t>n</t>
    </r>
    <r>
      <rPr>
        <b/>
        <sz val="11"/>
        <rFont val="Cambria"/>
        <family val="1"/>
      </rPr>
      <t>d</t>
    </r>
    <r>
      <rPr>
        <b/>
        <vertAlign val="subscript"/>
        <sz val="11"/>
        <rFont val="Cambria"/>
        <family val="1"/>
      </rPr>
      <t>x</t>
    </r>
  </si>
  <si>
    <r>
      <rPr>
        <b/>
        <vertAlign val="subscript"/>
        <sz val="11"/>
        <rFont val="Cambria"/>
        <family val="1"/>
      </rPr>
      <t>n</t>
    </r>
    <r>
      <rPr>
        <b/>
        <sz val="11"/>
        <rFont val="Cambria"/>
        <family val="1"/>
      </rPr>
      <t>L</t>
    </r>
    <r>
      <rPr>
        <b/>
        <vertAlign val="subscript"/>
        <sz val="11"/>
        <rFont val="Cambria"/>
        <family val="1"/>
      </rPr>
      <t>x</t>
    </r>
  </si>
  <si>
    <r>
      <t>T</t>
    </r>
    <r>
      <rPr>
        <b/>
        <vertAlign val="subscript"/>
        <sz val="11"/>
        <rFont val="Cambria"/>
        <family val="1"/>
      </rPr>
      <t>x</t>
    </r>
  </si>
  <si>
    <t>85+</t>
  </si>
  <si>
    <t>Coahuila: tabla de mortalidad femenina con causa eliminada (homicidios), 2019</t>
  </si>
  <si>
    <t>Coahuila: tabla de mortalidad masculina con causa eliminada (homicidios), 2019</t>
  </si>
  <si>
    <t>nqx</t>
  </si>
  <si>
    <t>Hombre</t>
  </si>
  <si>
    <t>Mujer</t>
  </si>
  <si>
    <t xml:space="preserve">Tablas Comparativas  F vs M </t>
  </si>
  <si>
    <r>
      <rPr>
        <b/>
        <sz val="11"/>
        <color theme="1"/>
        <rFont val="Aptos Narrow"/>
        <family val="2"/>
        <scheme val="minor"/>
      </rPr>
      <t>ANALISIS</t>
    </r>
    <r>
      <rPr>
        <sz val="11"/>
        <color theme="1"/>
        <rFont val="Aptos Narrow"/>
        <family val="2"/>
        <scheme val="minor"/>
      </rPr>
      <t xml:space="preserve"> Comparando los datos observados en las tablas de vida de causa eliminada por homicidios para Coahuila 2019, se aprecia que las mujeres presentan mejores condiciones de supervivencia que los hombres en la mayoría de los grupos de edad. Esto se refleja principalmente en una mayor esperanza de vida femenina y en menores probabilidades de morir.
Al nacimiento, la esperanza de vida de los hombres es de **73.79 años**, mientras que la de las mujeres es de **77.40 años**. Esto muestra una diferencia de aproximadamente **3.61 años a favor de las mujeres**. Aunque se eliminan las defunciones por homicidio, la brecha entre ambos sexos continúa siendo clara, lo que indica que la sobremortalidad masculina no depende únicamente de esta causa de muerte.
Durante la juventud y la adultez temprana, la diferencia sigue siendo importante. En el grupo de **20 a 24 años**, la esperanza de vida restante es de **55.16 años para hombres** y **58.57 años para mujeres**, con una ventaja femenina de **3.41 años**. Esto significa que, aun eliminando los homicidios, los hombres jóvenes mantienen una menor supervivencia que las mujeres.
La probabilidad de morir también confirma esta diferencia. En edades jóvenes, los hombres presentan riesgos de muerte mucho mayores. Por ejemplo, entre los **20 y 24 años**, la probabilidad de morir masculina es de **0.0059**, mientras que la femenina es de **0.0022**. Esto indica que los hombres tienen un riesgo de morir más de dos veces superior al de las mujeres en ese grupo de edad.
Entre los **25 y 29 años** y los **40 a 44 años** también se mantiene una diferencia marcada. En estos grupos, la mortalidad masculina sigue siendo considerablemente mayor que la femenina, lo cual sugiere que existen otros factores además de los homicidios que afectan más a los hombres, como accidentes, otras causas externas, enfermedades o conductas de mayor riesgo.
En edades avanzadas, la mortalidad aumenta para ambos sexos, como es esperado en una tabla de vida. Sin embargo, los hombres siguen presentando probabilidades de morir más altas. Por ejemplo, entre los **80 y 84 años**, la probabilidad de morir en hombres es de **0.3726**, mientras que en mujeres es de **0.2950**. Aunque la diferencia se reduce con la edad, la ventaja femenina en supervivencia permanece.
En general, los datos muestran que la eliminación de los homicidios mejora el panorama de mortalidad, pero no elimina las diferencias entre hombres y mujeres. Las mujeres conservan una mayor esperanza de vida y menores probabilidades de morir en casi todas las edades. Por lo tanto, se puede concluir que en Coahuila 2019 persiste una **sobremortalidad masculina**, especialmente visible en edades jóvenes y adultas, incluso bajo el escenario hipotético de eliminar las muertes por homicidio.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</si>
</sst>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
    <numFmt numFmtId="166" formatCode="0.00000"/>
  </numFmts>
  <fonts count="12" x14ac:knownFonts="1">
    <font>
      <sz val="11"/>
      <color theme="1"/>
      <name val="Aptos Narrow"/>
      <family val="2"/>
      <scheme val="minor"/>
    </font>
    <font>
      <b/>
      <sz val="11"/>
      <color theme="1"/>
      <name val="Cambria"/>
      <family val="1"/>
    </font>
    <font>
      <sz val="11"/>
      <color theme="1"/>
      <name val="Cambria"/>
      <family val="1"/>
    </font>
    <font>
      <b/>
      <sz val="11"/>
      <name val="Cambria"/>
      <family val="1"/>
    </font>
    <font>
      <b/>
      <vertAlign val="subscript"/>
      <sz val="11"/>
      <name val="Cambria"/>
      <family val="1"/>
    </font>
    <font>
      <b/>
      <sz val="11"/>
      <color theme="0"/>
      <name val="Cambria"/>
      <family val="1"/>
    </font>
    <font>
      <sz val="11"/>
      <name val="Calibri"/>
      <family val="2"/>
    </font>
    <font>
      <sz val="11"/>
      <name val="Cambria"/>
      <family val="1"/>
    </font>
    <font>
      <sz val="11"/>
      <color rgb="FFFF0000"/>
      <name val="Cambria"/>
      <family val="1"/>
    </font>
    <font>
      <sz val="10"/>
      <name val="Cambria"/>
      <family val="1"/>
    </font>
    <font>
      <b/>
      <sz val="11"/>
      <color theme="1"/>
      <name val="Aptos Narrow"/>
      <family val="2"/>
      <scheme val="minor"/>
    </font>
    <font>
      <b/>
      <sz val="13.5"/>
      <color theme="1"/>
      <name val="Aptos Narrow"/>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8" tint="0.79998168889431442"/>
        <bgColor indexed="64"/>
      </patternFill>
    </fill>
  </fills>
  <borders count="3">
    <border>
      <left/>
      <right/>
      <top/>
      <bottom/>
      <diagonal/>
    </border>
    <border>
      <left/>
      <right/>
      <top/>
      <bottom style="thin">
        <color indexed="64"/>
      </bottom>
      <diagonal/>
    </border>
    <border>
      <left/>
      <right/>
      <top/>
      <bottom style="medium">
        <color indexed="64"/>
      </bottom>
      <diagonal/>
    </border>
  </borders>
  <cellStyleXfs count="3">
    <xf numFmtId="0" fontId="0" fillId="0" borderId="0"/>
    <xf numFmtId="0" fontId="6" fillId="0" borderId="0"/>
    <xf numFmtId="0" fontId="6" fillId="0" borderId="0"/>
  </cellStyleXfs>
  <cellXfs count="34">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1" fontId="2" fillId="3" borderId="0" xfId="0" applyNumberFormat="1" applyFont="1" applyFill="1" applyAlignment="1">
      <alignment horizontal="center" vertical="center"/>
    </xf>
    <xf numFmtId="0" fontId="7" fillId="3" borderId="0" xfId="1" applyFont="1" applyFill="1" applyAlignment="1">
      <alignment horizontal="center" vertical="center"/>
    </xf>
    <xf numFmtId="164" fontId="8" fillId="3" borderId="0" xfId="0" applyNumberFormat="1" applyFont="1" applyFill="1" applyAlignment="1">
      <alignment horizontal="center" vertical="center"/>
    </xf>
    <xf numFmtId="164" fontId="8" fillId="3" borderId="0" xfId="0" applyNumberFormat="1" applyFont="1" applyFill="1" applyAlignment="1">
      <alignment horizontal="center"/>
    </xf>
    <xf numFmtId="1" fontId="8" fillId="3" borderId="0" xfId="0" applyNumberFormat="1" applyFont="1" applyFill="1" applyAlignment="1">
      <alignment horizontal="center" vertical="center"/>
    </xf>
    <xf numFmtId="2" fontId="8" fillId="3" borderId="0" xfId="0" applyNumberFormat="1" applyFont="1" applyFill="1" applyAlignment="1">
      <alignment horizontal="center" vertical="center"/>
    </xf>
    <xf numFmtId="1" fontId="2" fillId="3" borderId="0" xfId="0" quotePrefix="1" applyNumberFormat="1" applyFont="1" applyFill="1" applyAlignment="1">
      <alignment horizontal="center" vertical="center"/>
    </xf>
    <xf numFmtId="1" fontId="2" fillId="3" borderId="1" xfId="0" applyNumberFormat="1" applyFont="1" applyFill="1" applyBorder="1" applyAlignment="1">
      <alignment horizontal="center" vertical="center"/>
    </xf>
    <xf numFmtId="1" fontId="2" fillId="3" borderId="1" xfId="0" quotePrefix="1" applyNumberFormat="1" applyFont="1" applyFill="1" applyBorder="1" applyAlignment="1">
      <alignment horizontal="center" vertical="center"/>
    </xf>
    <xf numFmtId="3" fontId="7" fillId="3" borderId="1" xfId="1" applyNumberFormat="1" applyFont="1" applyFill="1" applyBorder="1" applyAlignment="1">
      <alignment horizontal="center" vertical="center"/>
    </xf>
    <xf numFmtId="164" fontId="8" fillId="3" borderId="1" xfId="0" applyNumberFormat="1" applyFont="1" applyFill="1" applyBorder="1" applyAlignment="1">
      <alignment horizontal="center" vertical="center"/>
    </xf>
    <xf numFmtId="1" fontId="8" fillId="3" borderId="1" xfId="0" applyNumberFormat="1" applyFont="1" applyFill="1" applyBorder="1" applyAlignment="1">
      <alignment horizontal="center" vertical="center"/>
    </xf>
    <xf numFmtId="2" fontId="8" fillId="3" borderId="1" xfId="0" applyNumberFormat="1" applyFont="1" applyFill="1" applyBorder="1" applyAlignment="1">
      <alignment horizontal="center" vertical="center"/>
    </xf>
    <xf numFmtId="3" fontId="7" fillId="3" borderId="0" xfId="0" applyNumberFormat="1" applyFont="1" applyFill="1" applyAlignment="1">
      <alignment horizontal="center" vertical="center" wrapText="1"/>
    </xf>
    <xf numFmtId="3" fontId="7" fillId="3" borderId="1" xfId="0" applyNumberFormat="1" applyFont="1" applyFill="1" applyBorder="1" applyAlignment="1">
      <alignment horizontal="center" vertical="center" wrapText="1"/>
    </xf>
    <xf numFmtId="166" fontId="2" fillId="3" borderId="0" xfId="0" applyNumberFormat="1" applyFont="1" applyFill="1" applyAlignment="1">
      <alignment horizontal="center"/>
    </xf>
    <xf numFmtId="165" fontId="9" fillId="4" borderId="0" xfId="2" applyNumberFormat="1" applyFont="1" applyFill="1" applyAlignment="1">
      <alignment horizontal="center" vertical="center"/>
    </xf>
    <xf numFmtId="165" fontId="9" fillId="5" borderId="0" xfId="2" applyNumberFormat="1" applyFont="1" applyFill="1" applyAlignment="1">
      <alignment horizontal="center" vertical="center"/>
    </xf>
    <xf numFmtId="2" fontId="2" fillId="3" borderId="0" xfId="0" applyNumberFormat="1" applyFont="1" applyFill="1" applyAlignment="1">
      <alignment horizontal="center" vertical="center"/>
    </xf>
    <xf numFmtId="0" fontId="2" fillId="3" borderId="0" xfId="0" applyFont="1" applyFill="1"/>
    <xf numFmtId="0" fontId="0" fillId="3" borderId="0" xfId="0" applyFill="1" applyAlignment="1">
      <alignment horizontal="center" vertical="center"/>
    </xf>
    <xf numFmtId="0" fontId="1" fillId="0" borderId="1" xfId="0" applyFont="1" applyBorder="1" applyAlignment="1">
      <alignment horizontal="center" vertical="center"/>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1" fillId="0" borderId="0" xfId="0" applyFont="1" applyAlignment="1">
      <alignment vertical="center"/>
    </xf>
    <xf numFmtId="0" fontId="0" fillId="0" borderId="0" xfId="0" applyAlignment="1">
      <alignment horizontal="center" vertical="center" wrapText="1"/>
    </xf>
    <xf numFmtId="0" fontId="0" fillId="0" borderId="0" xfId="0" applyAlignment="1">
      <alignment vertical="top"/>
    </xf>
  </cellXfs>
  <cellStyles count="3">
    <cellStyle name="Normal" xfId="0" builtinId="0"/>
    <cellStyle name="Normal 2" xfId="2" xr:uid="{8933446F-598F-42A5-9982-2DCD807115DB}"/>
    <cellStyle name="Normal 3" xfId="1" xr:uid="{C456671C-A083-4DE4-95A4-3D10AAD5DF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v>Hombres</c:v>
          </c:tx>
          <c:spPr>
            <a:ln w="28575" cap="rnd">
              <a:solidFill>
                <a:schemeClr val="accent6"/>
              </a:solidFill>
              <a:round/>
            </a:ln>
            <a:effectLst/>
          </c:spPr>
          <c:marker>
            <c:symbol val="none"/>
          </c:marker>
          <c:cat>
            <c:numRef>
              <c:f>'T.MORTALIDAD-F'!$A$4:$A$20</c:f>
              <c:numCache>
                <c:formatCode>0</c:formatCode>
                <c:ptCount val="17"/>
                <c:pt idx="0">
                  <c:v>0</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numCache>
            </c:numRef>
          </c:cat>
          <c:val>
            <c:numRef>
              <c:f>COMPARACIÓN!$A$5:$A$23</c:f>
              <c:numCache>
                <c:formatCode>0.00</c:formatCode>
                <c:ptCount val="19"/>
                <c:pt idx="0">
                  <c:v>73.791216220602195</c:v>
                </c:pt>
                <c:pt idx="1">
                  <c:v>73.715158576206846</c:v>
                </c:pt>
                <c:pt idx="2">
                  <c:v>69.850007584191445</c:v>
                </c:pt>
                <c:pt idx="3">
                  <c:v>64.899847142569755</c:v>
                </c:pt>
                <c:pt idx="4">
                  <c:v>59.965258529989107</c:v>
                </c:pt>
                <c:pt idx="5">
                  <c:v>55.159525795548035</c:v>
                </c:pt>
                <c:pt idx="6">
                  <c:v>50.470101123565819</c:v>
                </c:pt>
                <c:pt idx="7">
                  <c:v>45.778273884505545</c:v>
                </c:pt>
                <c:pt idx="8">
                  <c:v>41.120947992739872</c:v>
                </c:pt>
                <c:pt idx="9">
                  <c:v>36.501752324613363</c:v>
                </c:pt>
                <c:pt idx="10">
                  <c:v>32.09501023735956</c:v>
                </c:pt>
                <c:pt idx="11">
                  <c:v>27.836542107044973</c:v>
                </c:pt>
                <c:pt idx="12">
                  <c:v>23.733034113334565</c:v>
                </c:pt>
                <c:pt idx="13">
                  <c:v>19.866860031883729</c:v>
                </c:pt>
                <c:pt idx="14">
                  <c:v>16.469134899323983</c:v>
                </c:pt>
                <c:pt idx="15">
                  <c:v>13.494750622451386</c:v>
                </c:pt>
                <c:pt idx="16">
                  <c:v>10.831026556365034</c:v>
                </c:pt>
                <c:pt idx="17">
                  <c:v>8.5796139206479456</c:v>
                </c:pt>
                <c:pt idx="18">
                  <c:v>7.1906077348066297</c:v>
                </c:pt>
              </c:numCache>
            </c:numRef>
          </c:val>
          <c:smooth val="0"/>
          <c:extLst>
            <c:ext xmlns:c16="http://schemas.microsoft.com/office/drawing/2014/chart" uri="{C3380CC4-5D6E-409C-BE32-E72D297353CC}">
              <c16:uniqueId val="{00000000-E3EB-434E-A332-074D5C6103D4}"/>
            </c:ext>
          </c:extLst>
        </c:ser>
        <c:ser>
          <c:idx val="1"/>
          <c:order val="1"/>
          <c:tx>
            <c:v>Mujeres</c:v>
          </c:tx>
          <c:spPr>
            <a:ln w="28575" cap="rnd">
              <a:solidFill>
                <a:schemeClr val="accent5"/>
              </a:solidFill>
              <a:round/>
            </a:ln>
            <a:effectLst/>
          </c:spPr>
          <c:marker>
            <c:symbol val="none"/>
          </c:marker>
          <c:cat>
            <c:numRef>
              <c:f>'T.MORTALIDAD-F'!$A$4:$A$20</c:f>
              <c:numCache>
                <c:formatCode>0</c:formatCode>
                <c:ptCount val="17"/>
                <c:pt idx="0">
                  <c:v>0</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numCache>
            </c:numRef>
          </c:cat>
          <c:val>
            <c:numRef>
              <c:f>COMPARACIÓN!$B$5:$B$23</c:f>
              <c:numCache>
                <c:formatCode>0.00</c:formatCode>
                <c:ptCount val="19"/>
                <c:pt idx="0">
                  <c:v>77.399471586890854</c:v>
                </c:pt>
                <c:pt idx="1">
                  <c:v>77.20335101940843</c:v>
                </c:pt>
                <c:pt idx="2">
                  <c:v>73.331659081199504</c:v>
                </c:pt>
                <c:pt idx="3">
                  <c:v>68.398886125747651</c:v>
                </c:pt>
                <c:pt idx="4">
                  <c:v>63.458592072275721</c:v>
                </c:pt>
                <c:pt idx="5">
                  <c:v>58.566432357766111</c:v>
                </c:pt>
                <c:pt idx="6">
                  <c:v>53.68793849416295</c:v>
                </c:pt>
                <c:pt idx="7">
                  <c:v>48.830072376599496</c:v>
                </c:pt>
                <c:pt idx="8">
                  <c:v>43.99804020605832</c:v>
                </c:pt>
                <c:pt idx="9">
                  <c:v>39.243978061159552</c:v>
                </c:pt>
                <c:pt idx="10">
                  <c:v>34.555269140866621</c:v>
                </c:pt>
                <c:pt idx="11">
                  <c:v>30.096087679000771</c:v>
                </c:pt>
                <c:pt idx="12">
                  <c:v>25.795475213461046</c:v>
                </c:pt>
                <c:pt idx="13">
                  <c:v>21.725434303818773</c:v>
                </c:pt>
                <c:pt idx="14">
                  <c:v>18.004594651312559</c:v>
                </c:pt>
                <c:pt idx="15">
                  <c:v>14.63583338823962</c:v>
                </c:pt>
                <c:pt idx="16">
                  <c:v>11.54497928156135</c:v>
                </c:pt>
                <c:pt idx="17">
                  <c:v>8.8981246322353247</c:v>
                </c:pt>
                <c:pt idx="18">
                  <c:v>6.5752153744201456</c:v>
                </c:pt>
              </c:numCache>
            </c:numRef>
          </c:val>
          <c:smooth val="0"/>
          <c:extLst>
            <c:ext xmlns:c16="http://schemas.microsoft.com/office/drawing/2014/chart" uri="{C3380CC4-5D6E-409C-BE32-E72D297353CC}">
              <c16:uniqueId val="{00000001-E3EB-434E-A332-074D5C6103D4}"/>
            </c:ext>
          </c:extLst>
        </c:ser>
        <c:dLbls>
          <c:showLegendKey val="0"/>
          <c:showVal val="0"/>
          <c:showCatName val="0"/>
          <c:showSerName val="0"/>
          <c:showPercent val="0"/>
          <c:showBubbleSize val="0"/>
        </c:dLbls>
        <c:smooth val="0"/>
        <c:axId val="1292582768"/>
        <c:axId val="1292580848"/>
      </c:lineChart>
      <c:catAx>
        <c:axId val="12925827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92580848"/>
        <c:crosses val="autoZero"/>
        <c:auto val="1"/>
        <c:lblAlgn val="ctr"/>
        <c:lblOffset val="100"/>
        <c:noMultiLvlLbl val="0"/>
      </c:catAx>
      <c:valAx>
        <c:axId val="129258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92582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nqx</a:t>
            </a:r>
            <a:endParaRPr lang="es-MX">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v>Hombres</c:v>
          </c:tx>
          <c:spPr>
            <a:ln w="28575" cap="rnd">
              <a:solidFill>
                <a:schemeClr val="accent6"/>
              </a:solidFill>
              <a:round/>
            </a:ln>
            <a:effectLst/>
          </c:spPr>
          <c:marker>
            <c:symbol val="none"/>
          </c:marker>
          <c:cat>
            <c:strRef>
              <c:f>'T.MORTALIDAD-F'!$A$4:$A$22</c:f>
              <c:strCache>
                <c:ptCount val="19"/>
                <c:pt idx="0">
                  <c:v>0</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strCache>
            </c:strRef>
          </c:cat>
          <c:val>
            <c:numRef>
              <c:f>COMPARACIÓN!$D$5:$D$23</c:f>
              <c:numCache>
                <c:formatCode>0.00000</c:formatCode>
                <c:ptCount val="19"/>
                <c:pt idx="0">
                  <c:v>1.2380789270505175E-2</c:v>
                </c:pt>
                <c:pt idx="1">
                  <c:v>1.8639194122082171E-3</c:v>
                </c:pt>
                <c:pt idx="2">
                  <c:v>7.3946100015461467E-4</c:v>
                </c:pt>
                <c:pt idx="3">
                  <c:v>1.0471642791321102E-3</c:v>
                </c:pt>
                <c:pt idx="4">
                  <c:v>3.3692137227727594E-3</c:v>
                </c:pt>
                <c:pt idx="5">
                  <c:v>5.8632194658886265E-3</c:v>
                </c:pt>
                <c:pt idx="6">
                  <c:v>6.3832597179626404E-3</c:v>
                </c:pt>
                <c:pt idx="7">
                  <c:v>7.8557235457459365E-3</c:v>
                </c:pt>
                <c:pt idx="8">
                  <c:v>9.7637749377012858E-3</c:v>
                </c:pt>
                <c:pt idx="9">
                  <c:v>1.714865550481989E-2</c:v>
                </c:pt>
                <c:pt idx="10">
                  <c:v>2.444351986686083E-2</c:v>
                </c:pt>
                <c:pt idx="11">
                  <c:v>3.417416385830456E-2</c:v>
                </c:pt>
                <c:pt idx="12">
                  <c:v>5.0692225772097976E-2</c:v>
                </c:pt>
                <c:pt idx="13">
                  <c:v>8.4467471813770206E-2</c:v>
                </c:pt>
                <c:pt idx="14">
                  <c:v>0.1266425323495885</c:v>
                </c:pt>
                <c:pt idx="15">
                  <c:v>0.17525101491889006</c:v>
                </c:pt>
                <c:pt idx="16">
                  <c:v>0.24807609578892023</c:v>
                </c:pt>
                <c:pt idx="17">
                  <c:v>0.37262821001295438</c:v>
                </c:pt>
                <c:pt idx="18">
                  <c:v>1</c:v>
                </c:pt>
              </c:numCache>
            </c:numRef>
          </c:val>
          <c:smooth val="0"/>
          <c:extLst>
            <c:ext xmlns:c16="http://schemas.microsoft.com/office/drawing/2014/chart" uri="{C3380CC4-5D6E-409C-BE32-E72D297353CC}">
              <c16:uniqueId val="{00000000-F77B-44D1-AA81-D1E4112BE416}"/>
            </c:ext>
          </c:extLst>
        </c:ser>
        <c:ser>
          <c:idx val="1"/>
          <c:order val="1"/>
          <c:tx>
            <c:v>Mujeres</c:v>
          </c:tx>
          <c:spPr>
            <a:ln w="28575" cap="rnd">
              <a:solidFill>
                <a:schemeClr val="accent5"/>
              </a:solidFill>
              <a:round/>
            </a:ln>
            <a:effectLst/>
          </c:spPr>
          <c:marker>
            <c:symbol val="none"/>
          </c:marker>
          <c:cat>
            <c:strRef>
              <c:f>'T.MORTALIDAD-F'!$A$4:$A$22</c:f>
              <c:strCache>
                <c:ptCount val="19"/>
                <c:pt idx="0">
                  <c:v>0</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strCache>
            </c:strRef>
          </c:cat>
          <c:val>
            <c:numRef>
              <c:f>COMPARACIÓN!$E$5:$E$23</c:f>
              <c:numCache>
                <c:formatCode>0.00000</c:formatCode>
                <c:ptCount val="19"/>
                <c:pt idx="0">
                  <c:v>1.0290148837672328E-2</c:v>
                </c:pt>
                <c:pt idx="1">
                  <c:v>1.6921508307879852E-3</c:v>
                </c:pt>
                <c:pt idx="2">
                  <c:v>9.482101655153523E-4</c:v>
                </c:pt>
                <c:pt idx="3">
                  <c:v>9.0520347163635447E-4</c:v>
                </c:pt>
                <c:pt idx="4">
                  <c:v>1.7659503155284695E-3</c:v>
                </c:pt>
                <c:pt idx="5">
                  <c:v>2.1624950061026344E-3</c:v>
                </c:pt>
                <c:pt idx="6">
                  <c:v>2.7690177678640106E-3</c:v>
                </c:pt>
                <c:pt idx="7">
                  <c:v>3.6123636332728438E-3</c:v>
                </c:pt>
                <c:pt idx="8">
                  <c:v>5.8915768578861024E-3</c:v>
                </c:pt>
                <c:pt idx="9">
                  <c:v>8.4007237546619394E-3</c:v>
                </c:pt>
                <c:pt idx="10">
                  <c:v>1.659151685502918E-2</c:v>
                </c:pt>
                <c:pt idx="11">
                  <c:v>2.4717292400431558E-2</c:v>
                </c:pt>
                <c:pt idx="12">
                  <c:v>3.8387715930902115E-2</c:v>
                </c:pt>
                <c:pt idx="13">
                  <c:v>6.2384083628393192E-2</c:v>
                </c:pt>
                <c:pt idx="14">
                  <c:v>9.5194596023942882E-2</c:v>
                </c:pt>
                <c:pt idx="15">
                  <c:v>0.13593084439989978</c:v>
                </c:pt>
                <c:pt idx="16">
                  <c:v>0.20645022111962033</c:v>
                </c:pt>
                <c:pt idx="17">
                  <c:v>0.29498922413793105</c:v>
                </c:pt>
                <c:pt idx="18">
                  <c:v>1</c:v>
                </c:pt>
              </c:numCache>
            </c:numRef>
          </c:val>
          <c:smooth val="0"/>
          <c:extLst>
            <c:ext xmlns:c16="http://schemas.microsoft.com/office/drawing/2014/chart" uri="{C3380CC4-5D6E-409C-BE32-E72D297353CC}">
              <c16:uniqueId val="{00000001-F77B-44D1-AA81-D1E4112BE416}"/>
            </c:ext>
          </c:extLst>
        </c:ser>
        <c:dLbls>
          <c:showLegendKey val="0"/>
          <c:showVal val="0"/>
          <c:showCatName val="0"/>
          <c:showSerName val="0"/>
          <c:showPercent val="0"/>
          <c:showBubbleSize val="0"/>
        </c:dLbls>
        <c:smooth val="0"/>
        <c:axId val="1460402576"/>
        <c:axId val="1460400176"/>
      </c:lineChart>
      <c:catAx>
        <c:axId val="146040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60400176"/>
        <c:crosses val="autoZero"/>
        <c:auto val="1"/>
        <c:lblAlgn val="ctr"/>
        <c:lblOffset val="100"/>
        <c:noMultiLvlLbl val="0"/>
      </c:catAx>
      <c:valAx>
        <c:axId val="146040017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60402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12</xdr:col>
      <xdr:colOff>301625</xdr:colOff>
      <xdr:row>0</xdr:row>
      <xdr:rowOff>0</xdr:rowOff>
    </xdr:from>
    <xdr:ext cx="65" cy="172227"/>
    <xdr:sp macro="" textlink="">
      <xdr:nvSpPr>
        <xdr:cNvPr id="2" name="TextBox 1">
          <a:extLst>
            <a:ext uri="{FF2B5EF4-FFF2-40B4-BE49-F238E27FC236}">
              <a16:creationId xmlns:a16="http://schemas.microsoft.com/office/drawing/2014/main" id="{347A8BB8-FE04-4D74-8E25-896255800598}"/>
            </a:ext>
          </a:extLst>
        </xdr:cNvPr>
        <xdr:cNvSpPr txBox="1"/>
      </xdr:nvSpPr>
      <xdr:spPr>
        <a:xfrm>
          <a:off x="9445625"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301625</xdr:colOff>
      <xdr:row>2</xdr:row>
      <xdr:rowOff>12700</xdr:rowOff>
    </xdr:from>
    <xdr:ext cx="174791" cy="175369"/>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29136DA0-88F6-4CA6-B561-1536FDE7FD05}"/>
                </a:ext>
              </a:extLst>
            </xdr:cNvPr>
            <xdr:cNvSpPr txBox="1"/>
          </xdr:nvSpPr>
          <xdr:spPr>
            <a:xfrm>
              <a:off x="9445625" y="53721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𝑒</m:t>
                        </m:r>
                      </m:e>
                      <m:sub>
                        <m:r>
                          <a:rPr lang="en-US" sz="1100" b="0" i="1">
                            <a:latin typeface="Cambria Math" panose="02040503050406030204" pitchFamily="18" charset="0"/>
                          </a:rPr>
                          <m:t>𝑥</m:t>
                        </m:r>
                      </m:sub>
                      <m:sup>
                        <m:r>
                          <a:rPr lang="en-US" sz="1100" b="0" i="1">
                            <a:latin typeface="Cambria Math" panose="02040503050406030204" pitchFamily="18" charset="0"/>
                          </a:rPr>
                          <m:t>0</m:t>
                        </m:r>
                      </m:sup>
                    </m:sSubSup>
                  </m:oMath>
                </m:oMathPara>
              </a14:m>
              <a:endParaRPr lang="en-US" sz="1100"/>
            </a:p>
          </xdr:txBody>
        </xdr:sp>
      </mc:Choice>
      <mc:Fallback xmlns="">
        <xdr:sp macro="" textlink="">
          <xdr:nvSpPr>
            <xdr:cNvPr id="3" name="TextBox 1">
              <a:extLst>
                <a:ext uri="{FF2B5EF4-FFF2-40B4-BE49-F238E27FC236}">
                  <a16:creationId xmlns:a16="http://schemas.microsoft.com/office/drawing/2014/main" id="{29136DA0-88F6-4CA6-B561-1536FDE7FD05}"/>
                </a:ext>
              </a:extLst>
            </xdr:cNvPr>
            <xdr:cNvSpPr txBox="1"/>
          </xdr:nvSpPr>
          <xdr:spPr>
            <a:xfrm>
              <a:off x="9445625" y="53721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𝑒_𝑥^0</a:t>
              </a:r>
              <a:endParaRPr lang="en-US"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12</xdr:col>
      <xdr:colOff>301625</xdr:colOff>
      <xdr:row>2</xdr:row>
      <xdr:rowOff>12700</xdr:rowOff>
    </xdr:from>
    <xdr:ext cx="174791" cy="175369"/>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A6EC109E-5C4C-403F-834A-04F78B060932}"/>
                </a:ext>
              </a:extLst>
            </xdr:cNvPr>
            <xdr:cNvSpPr txBox="1"/>
          </xdr:nvSpPr>
          <xdr:spPr>
            <a:xfrm>
              <a:off x="9445625" y="3810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𝑒</m:t>
                        </m:r>
                      </m:e>
                      <m:sub>
                        <m:r>
                          <a:rPr lang="en-US" sz="1100" b="0" i="1">
                            <a:latin typeface="Cambria Math" panose="02040503050406030204" pitchFamily="18" charset="0"/>
                          </a:rPr>
                          <m:t>𝑥</m:t>
                        </m:r>
                      </m:sub>
                      <m:sup>
                        <m:r>
                          <a:rPr lang="en-US" sz="1100" b="0" i="1">
                            <a:latin typeface="Cambria Math" panose="02040503050406030204" pitchFamily="18" charset="0"/>
                          </a:rPr>
                          <m:t>0</m:t>
                        </m:r>
                      </m:sup>
                    </m:sSubSup>
                  </m:oMath>
                </m:oMathPara>
              </a14:m>
              <a:endParaRPr lang="en-US" sz="1100"/>
            </a:p>
          </xdr:txBody>
        </xdr:sp>
      </mc:Choice>
      <mc:Fallback xmlns="">
        <xdr:sp macro="" textlink="">
          <xdr:nvSpPr>
            <xdr:cNvPr id="3" name="TextBox 1">
              <a:extLst>
                <a:ext uri="{FF2B5EF4-FFF2-40B4-BE49-F238E27FC236}">
                  <a16:creationId xmlns:a16="http://schemas.microsoft.com/office/drawing/2014/main" id="{A6EC109E-5C4C-403F-834A-04F78B060932}"/>
                </a:ext>
              </a:extLst>
            </xdr:cNvPr>
            <xdr:cNvSpPr txBox="1"/>
          </xdr:nvSpPr>
          <xdr:spPr>
            <a:xfrm>
              <a:off x="9445625" y="3810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𝑒_𝑥^0</a:t>
              </a:r>
              <a:endParaRPr 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698500</xdr:colOff>
      <xdr:row>2</xdr:row>
      <xdr:rowOff>6350</xdr:rowOff>
    </xdr:from>
    <xdr:ext cx="174791" cy="17536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D9047DC-BB95-4F24-A9DE-DE45841D2517}"/>
                </a:ext>
              </a:extLst>
            </xdr:cNvPr>
            <xdr:cNvSpPr txBox="1"/>
          </xdr:nvSpPr>
          <xdr:spPr>
            <a:xfrm>
              <a:off x="698500" y="37465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𝑒</m:t>
                        </m:r>
                      </m:e>
                      <m:sub>
                        <m:r>
                          <a:rPr lang="en-US" sz="1100" b="0" i="1">
                            <a:latin typeface="Cambria Math" panose="02040503050406030204" pitchFamily="18" charset="0"/>
                          </a:rPr>
                          <m:t>𝑥</m:t>
                        </m:r>
                      </m:sub>
                      <m:sup>
                        <m:r>
                          <a:rPr lang="en-US" sz="1100" b="0" i="1">
                            <a:latin typeface="Cambria Math" panose="02040503050406030204" pitchFamily="18" charset="0"/>
                          </a:rPr>
                          <m:t>0</m:t>
                        </m:r>
                      </m:sup>
                    </m:sSubSup>
                  </m:oMath>
                </m:oMathPara>
              </a14:m>
              <a:endParaRPr lang="en-US" sz="1100"/>
            </a:p>
          </xdr:txBody>
        </xdr:sp>
      </mc:Choice>
      <mc:Fallback xmlns="">
        <xdr:sp macro="" textlink="">
          <xdr:nvSpPr>
            <xdr:cNvPr id="2" name="TextBox 1">
              <a:extLst>
                <a:ext uri="{FF2B5EF4-FFF2-40B4-BE49-F238E27FC236}">
                  <a16:creationId xmlns:a16="http://schemas.microsoft.com/office/drawing/2014/main" id="{CD9047DC-BB95-4F24-A9DE-DE45841D2517}"/>
                </a:ext>
              </a:extLst>
            </xdr:cNvPr>
            <xdr:cNvSpPr txBox="1"/>
          </xdr:nvSpPr>
          <xdr:spPr>
            <a:xfrm>
              <a:off x="698500" y="37465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𝑒_𝑥^0</a:t>
              </a:r>
              <a:endParaRPr lang="en-US" sz="1100"/>
            </a:p>
          </xdr:txBody>
        </xdr:sp>
      </mc:Fallback>
    </mc:AlternateContent>
    <xdr:clientData/>
  </xdr:oneCellAnchor>
  <xdr:twoCellAnchor>
    <xdr:from>
      <xdr:col>5</xdr:col>
      <xdr:colOff>752475</xdr:colOff>
      <xdr:row>2</xdr:row>
      <xdr:rowOff>3175</xdr:rowOff>
    </xdr:from>
    <xdr:to>
      <xdr:col>11</xdr:col>
      <xdr:colOff>752475</xdr:colOff>
      <xdr:row>16</xdr:row>
      <xdr:rowOff>168275</xdr:rowOff>
    </xdr:to>
    <xdr:graphicFrame macro="">
      <xdr:nvGraphicFramePr>
        <xdr:cNvPr id="3" name="Gráfico 2">
          <a:extLst>
            <a:ext uri="{FF2B5EF4-FFF2-40B4-BE49-F238E27FC236}">
              <a16:creationId xmlns:a16="http://schemas.microsoft.com/office/drawing/2014/main" id="{18690399-131B-3358-2150-B10E82E08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758825</xdr:colOff>
      <xdr:row>1</xdr:row>
      <xdr:rowOff>180975</xdr:rowOff>
    </xdr:from>
    <xdr:to>
      <xdr:col>18</xdr:col>
      <xdr:colOff>758825</xdr:colOff>
      <xdr:row>16</xdr:row>
      <xdr:rowOff>155575</xdr:rowOff>
    </xdr:to>
    <xdr:graphicFrame macro="">
      <xdr:nvGraphicFramePr>
        <xdr:cNvPr id="4" name="Gráfico 3">
          <a:extLst>
            <a:ext uri="{FF2B5EF4-FFF2-40B4-BE49-F238E27FC236}">
              <a16:creationId xmlns:a16="http://schemas.microsoft.com/office/drawing/2014/main" id="{52DF7347-184D-6CFE-8AB8-9AB028D3A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0.46944</cdr:x>
      <cdr:y>0.05556</cdr:y>
    </cdr:from>
    <cdr:to>
      <cdr:x>0.50768</cdr:x>
      <cdr:y>0.11948</cdr:y>
    </cdr:to>
    <mc:AlternateContent xmlns:mc="http://schemas.openxmlformats.org/markup-compatibility/2006" xmlns:a14="http://schemas.microsoft.com/office/drawing/2010/main">
      <mc:Choice Requires="a14">
        <cdr:sp macro="" textlink="">
          <cdr:nvSpPr>
            <cdr:cNvPr id="3" name="TextBox 1">
              <a:extLst xmlns:a="http://schemas.openxmlformats.org/drawingml/2006/main">
                <a:ext uri="{FF2B5EF4-FFF2-40B4-BE49-F238E27FC236}">
                  <a16:creationId xmlns:a16="http://schemas.microsoft.com/office/drawing/2014/main" id="{CD9047DC-BB95-4F24-A9DE-DE45841D2517}"/>
                </a:ext>
              </a:extLst>
            </cdr:cNvPr>
            <cdr:cNvSpPr txBox="1"/>
          </cdr:nvSpPr>
          <cdr:spPr>
            <a:xfrm xmlns:a="http://schemas.openxmlformats.org/drawingml/2006/main">
              <a:off x="2146300" y="152400"/>
              <a:ext cx="174791" cy="17536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lIns="0" tIns="0" rIns="0" bIns="0"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𝑒</m:t>
                        </m:r>
                      </m:e>
                      <m:sub>
                        <m:r>
                          <a:rPr lang="en-US" sz="1100" b="0" i="1">
                            <a:latin typeface="Cambria Math" panose="02040503050406030204" pitchFamily="18" charset="0"/>
                          </a:rPr>
                          <m:t>𝑥</m:t>
                        </m:r>
                      </m:sub>
                      <m:sup>
                        <m:r>
                          <a:rPr lang="en-US" sz="1100" b="0" i="1">
                            <a:latin typeface="Cambria Math" panose="02040503050406030204" pitchFamily="18" charset="0"/>
                          </a:rPr>
                          <m:t>0</m:t>
                        </m:r>
                      </m:sup>
                    </m:sSubSup>
                  </m:oMath>
                </m:oMathPara>
              </a14:m>
              <a:endParaRPr lang="en-US" sz="1100"/>
            </a:p>
          </cdr:txBody>
        </cdr:sp>
      </mc:Choice>
      <mc:Fallback xmlns="">
        <cdr:sp macro="" textlink="">
          <cdr:nvSpPr>
            <cdr:cNvPr id="3" name="TextBox 1">
              <a:extLst xmlns:a="http://schemas.openxmlformats.org/drawingml/2006/main">
                <a:ext uri="{FF2B5EF4-FFF2-40B4-BE49-F238E27FC236}">
                  <a16:creationId xmlns:a16="http://schemas.microsoft.com/office/drawing/2014/main" id="{CD9047DC-BB95-4F24-A9DE-DE45841D2517}"/>
                </a:ext>
              </a:extLst>
            </cdr:cNvPr>
            <cdr:cNvSpPr txBox="1"/>
          </cdr:nvSpPr>
          <cdr:spPr>
            <a:xfrm xmlns:a="http://schemas.openxmlformats.org/drawingml/2006/main">
              <a:off x="2146300" y="152400"/>
              <a:ext cx="174791" cy="17536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lIns="0" tIns="0" rIns="0" bIns="0"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r>
                <a:rPr lang="en-US" sz="1100" b="0" i="0">
                  <a:latin typeface="Cambria Math" panose="02040503050406030204" pitchFamily="18" charset="0"/>
                </a:rPr>
                <a:t>𝑒_𝑥^0</a:t>
              </a:r>
              <a:endParaRPr lang="en-US" sz="1100"/>
            </a:p>
          </cdr:txBody>
        </cdr:sp>
      </mc:Fallback>
    </mc:AlternateContent>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C916-14A6-47EE-BF15-49D2AFF1111B}">
  <dimension ref="A1:M22"/>
  <sheetViews>
    <sheetView topLeftCell="A2" zoomScale="90" workbookViewId="0">
      <selection activeCell="D29" sqref="D29"/>
    </sheetView>
  </sheetViews>
  <sheetFormatPr baseColWidth="10" defaultRowHeight="14.5" x14ac:dyDescent="0.35"/>
  <sheetData>
    <row r="1" spans="1:13" x14ac:dyDescent="0.35">
      <c r="A1" s="1" t="s">
        <v>13</v>
      </c>
      <c r="B1" s="2"/>
      <c r="C1" s="3"/>
      <c r="D1" s="3"/>
      <c r="E1" s="3"/>
      <c r="F1" s="3"/>
      <c r="G1" s="3"/>
      <c r="H1" s="3"/>
      <c r="I1" s="3"/>
      <c r="J1" s="3"/>
      <c r="K1" s="3"/>
      <c r="L1" s="3"/>
      <c r="M1" s="3"/>
    </row>
    <row r="2" spans="1:13" x14ac:dyDescent="0.35">
      <c r="A2" s="1"/>
      <c r="B2" s="2"/>
      <c r="C2" s="3"/>
      <c r="D2" s="3"/>
      <c r="E2" s="3"/>
      <c r="F2" s="3"/>
      <c r="G2" s="3"/>
      <c r="H2" s="3"/>
      <c r="I2" s="3"/>
      <c r="J2" s="3"/>
      <c r="K2" s="3"/>
      <c r="L2" s="3"/>
      <c r="M2" s="3"/>
    </row>
    <row r="3" spans="1:13" ht="16" x14ac:dyDescent="0.35">
      <c r="A3" s="4" t="s">
        <v>0</v>
      </c>
      <c r="B3" s="4" t="s">
        <v>1</v>
      </c>
      <c r="C3" s="4" t="s">
        <v>2</v>
      </c>
      <c r="D3" s="4" t="s">
        <v>3</v>
      </c>
      <c r="E3" s="4" t="s">
        <v>4</v>
      </c>
      <c r="F3" s="4" t="s">
        <v>5</v>
      </c>
      <c r="G3" s="4" t="s">
        <v>6</v>
      </c>
      <c r="H3" s="4" t="s">
        <v>7</v>
      </c>
      <c r="I3" s="4" t="s">
        <v>8</v>
      </c>
      <c r="J3" s="4" t="s">
        <v>9</v>
      </c>
      <c r="K3" s="4" t="s">
        <v>10</v>
      </c>
      <c r="L3" s="4" t="s">
        <v>11</v>
      </c>
      <c r="M3" s="5"/>
    </row>
    <row r="4" spans="1:13" x14ac:dyDescent="0.35">
      <c r="A4" s="6">
        <v>0</v>
      </c>
      <c r="B4" s="6">
        <v>1</v>
      </c>
      <c r="C4" s="19">
        <v>27146</v>
      </c>
      <c r="D4" s="7">
        <v>282</v>
      </c>
      <c r="E4" s="8">
        <f>D4/C4</f>
        <v>1.0388270831798423E-2</v>
      </c>
      <c r="F4" s="9">
        <f>IF(E4&gt;=0.107,0.35,0.053+2.8*E4)</f>
        <v>8.2087158329035584E-2</v>
      </c>
      <c r="G4" s="8">
        <f>(B4*E4)/(1+(B4-F4)*E4)</f>
        <v>1.0290148837672328E-2</v>
      </c>
      <c r="H4" s="8">
        <f>1-G4</f>
        <v>0.98970985116232768</v>
      </c>
      <c r="I4" s="10">
        <f>100000</f>
        <v>100000</v>
      </c>
      <c r="J4" s="10">
        <f>I4-I5</f>
        <v>1029.0148837672314</v>
      </c>
      <c r="K4" s="10">
        <f>(B4*I5)+(F4*J4)</f>
        <v>99055.454023919505</v>
      </c>
      <c r="L4" s="10">
        <f t="shared" ref="L4:L20" si="0">K4+L5</f>
        <v>7739947.1586890854</v>
      </c>
      <c r="M4" s="11">
        <f>L4/I4</f>
        <v>77.399471586890854</v>
      </c>
    </row>
    <row r="5" spans="1:13" x14ac:dyDescent="0.35">
      <c r="A5" s="12">
        <v>1</v>
      </c>
      <c r="B5" s="12">
        <v>4</v>
      </c>
      <c r="C5" s="19">
        <v>110984</v>
      </c>
      <c r="D5" s="7">
        <v>47</v>
      </c>
      <c r="E5" s="8">
        <f t="shared" ref="E5:E22" si="1">D5/C5</f>
        <v>4.2348446622936638E-4</v>
      </c>
      <c r="F5" s="9">
        <f>IF(E4&gt;=0.107,1.361,1.522-1.518*E4)</f>
        <v>1.50623060487733</v>
      </c>
      <c r="G5" s="8">
        <f t="shared" ref="G5:G21" si="2">(B5*E5)/(1+(B5-F5)*E5)</f>
        <v>1.6921508307879852E-3</v>
      </c>
      <c r="H5" s="8">
        <f t="shared" ref="H5:H22" si="3">1-G5</f>
        <v>0.998307849169212</v>
      </c>
      <c r="I5" s="10">
        <f>I4*H4</f>
        <v>98970.985116232769</v>
      </c>
      <c r="J5" s="10">
        <f>I5-I6</f>
        <v>167.47383468833868</v>
      </c>
      <c r="K5" s="10">
        <f t="shared" ref="K5:K21" si="4">(B5*I6)+(F5*J5)</f>
        <v>395466.29934150144</v>
      </c>
      <c r="L5" s="10">
        <f t="shared" si="0"/>
        <v>7640891.7046651663</v>
      </c>
      <c r="M5" s="11">
        <f t="shared" ref="M5:M22" si="5">L5/I5</f>
        <v>77.20335101940843</v>
      </c>
    </row>
    <row r="6" spans="1:13" x14ac:dyDescent="0.35">
      <c r="A6" s="12">
        <v>5</v>
      </c>
      <c r="B6" s="12">
        <v>5</v>
      </c>
      <c r="C6" s="19">
        <v>142306</v>
      </c>
      <c r="D6" s="7">
        <v>27</v>
      </c>
      <c r="E6" s="8">
        <f t="shared" si="1"/>
        <v>1.8973198600199571E-4</v>
      </c>
      <c r="F6" s="8">
        <v>2.5</v>
      </c>
      <c r="G6" s="8">
        <f t="shared" si="2"/>
        <v>9.482101655153523E-4</v>
      </c>
      <c r="H6" s="8">
        <f t="shared" si="3"/>
        <v>0.99905178983448462</v>
      </c>
      <c r="I6" s="10">
        <f t="shared" ref="I6:I21" si="6">I5*H5</f>
        <v>98803.51128154443</v>
      </c>
      <c r="J6" s="10">
        <f t="shared" ref="J6:J22" si="7">I6-I7</f>
        <v>93.686493785775383</v>
      </c>
      <c r="K6" s="10">
        <f t="shared" si="4"/>
        <v>493783.34017325769</v>
      </c>
      <c r="L6" s="10">
        <f t="shared" si="0"/>
        <v>7245425.4053236647</v>
      </c>
      <c r="M6" s="11">
        <f t="shared" si="5"/>
        <v>73.331659081199504</v>
      </c>
    </row>
    <row r="7" spans="1:13" x14ac:dyDescent="0.35">
      <c r="A7" s="12">
        <v>10</v>
      </c>
      <c r="B7" s="12">
        <v>5</v>
      </c>
      <c r="C7" s="19">
        <v>138028</v>
      </c>
      <c r="D7" s="7">
        <v>25</v>
      </c>
      <c r="E7" s="8">
        <f t="shared" si="1"/>
        <v>1.8112267076245399E-4</v>
      </c>
      <c r="F7" s="8">
        <v>2.5</v>
      </c>
      <c r="G7" s="8">
        <f t="shared" si="2"/>
        <v>9.0520347163635447E-4</v>
      </c>
      <c r="H7" s="8">
        <f t="shared" si="3"/>
        <v>0.99909479652836364</v>
      </c>
      <c r="I7" s="10">
        <f t="shared" si="6"/>
        <v>98709.824787758655</v>
      </c>
      <c r="J7" s="10">
        <f t="shared" si="7"/>
        <v>89.352476082494832</v>
      </c>
      <c r="K7" s="10">
        <f t="shared" si="4"/>
        <v>493325.74274858698</v>
      </c>
      <c r="L7" s="10">
        <f t="shared" si="0"/>
        <v>6751642.0651504071</v>
      </c>
      <c r="M7" s="11">
        <f t="shared" si="5"/>
        <v>68.398886125747651</v>
      </c>
    </row>
    <row r="8" spans="1:13" x14ac:dyDescent="0.35">
      <c r="A8" s="6">
        <v>15</v>
      </c>
      <c r="B8" s="12">
        <v>5</v>
      </c>
      <c r="C8" s="19">
        <v>138613</v>
      </c>
      <c r="D8" s="7">
        <v>49</v>
      </c>
      <c r="E8" s="8">
        <f t="shared" si="1"/>
        <v>3.5350219676365133E-4</v>
      </c>
      <c r="F8" s="8">
        <v>2.5</v>
      </c>
      <c r="G8" s="8">
        <f t="shared" si="2"/>
        <v>1.7659503155284695E-3</v>
      </c>
      <c r="H8" s="8">
        <f t="shared" si="3"/>
        <v>0.99823404968447149</v>
      </c>
      <c r="I8" s="10">
        <f t="shared" si="6"/>
        <v>98620.47231167616</v>
      </c>
      <c r="J8" s="10">
        <f t="shared" si="7"/>
        <v>174.15885419637198</v>
      </c>
      <c r="K8" s="10">
        <f t="shared" si="4"/>
        <v>492666.96442288987</v>
      </c>
      <c r="L8" s="10">
        <f t="shared" si="0"/>
        <v>6258316.3224018198</v>
      </c>
      <c r="M8" s="11">
        <f t="shared" si="5"/>
        <v>63.458592072275721</v>
      </c>
    </row>
    <row r="9" spans="1:13" x14ac:dyDescent="0.35">
      <c r="A9" s="6">
        <v>20</v>
      </c>
      <c r="B9" s="12">
        <v>5</v>
      </c>
      <c r="C9" s="19">
        <v>136269</v>
      </c>
      <c r="D9" s="7">
        <v>59</v>
      </c>
      <c r="E9" s="8">
        <f t="shared" si="1"/>
        <v>4.3296714586589762E-4</v>
      </c>
      <c r="F9" s="8">
        <v>2.5</v>
      </c>
      <c r="G9" s="8">
        <f t="shared" si="2"/>
        <v>2.1624950061026344E-3</v>
      </c>
      <c r="H9" s="8">
        <f t="shared" si="3"/>
        <v>0.99783750499389734</v>
      </c>
      <c r="I9" s="10">
        <f t="shared" si="6"/>
        <v>98446.313457479788</v>
      </c>
      <c r="J9" s="10">
        <f t="shared" si="7"/>
        <v>212.88966122102283</v>
      </c>
      <c r="K9" s="10">
        <f t="shared" si="4"/>
        <v>491699.34313434636</v>
      </c>
      <c r="L9" s="10">
        <f t="shared" si="0"/>
        <v>5765649.3579789298</v>
      </c>
      <c r="M9" s="11">
        <f t="shared" si="5"/>
        <v>58.566432357766111</v>
      </c>
    </row>
    <row r="10" spans="1:13" x14ac:dyDescent="0.35">
      <c r="A10" s="6">
        <v>25</v>
      </c>
      <c r="B10" s="12">
        <v>5</v>
      </c>
      <c r="C10" s="19">
        <v>129830</v>
      </c>
      <c r="D10" s="7">
        <v>72</v>
      </c>
      <c r="E10" s="8">
        <f t="shared" si="1"/>
        <v>5.5457136255102828E-4</v>
      </c>
      <c r="F10" s="8">
        <v>2.5</v>
      </c>
      <c r="G10" s="8">
        <f t="shared" si="2"/>
        <v>2.7690177678640106E-3</v>
      </c>
      <c r="H10" s="8">
        <f t="shared" si="3"/>
        <v>0.99723098223213602</v>
      </c>
      <c r="I10" s="10">
        <f t="shared" si="6"/>
        <v>98233.423796258765</v>
      </c>
      <c r="J10" s="10">
        <f t="shared" si="7"/>
        <v>272.01009588995657</v>
      </c>
      <c r="K10" s="10">
        <f t="shared" si="4"/>
        <v>490487.09374156897</v>
      </c>
      <c r="L10" s="10">
        <f t="shared" si="0"/>
        <v>5273950.0148445833</v>
      </c>
      <c r="M10" s="11">
        <f t="shared" si="5"/>
        <v>53.68793849416295</v>
      </c>
    </row>
    <row r="11" spans="1:13" x14ac:dyDescent="0.35">
      <c r="A11" s="6">
        <v>30</v>
      </c>
      <c r="B11" s="12">
        <v>5</v>
      </c>
      <c r="C11" s="19">
        <v>117439</v>
      </c>
      <c r="D11" s="7">
        <v>85</v>
      </c>
      <c r="E11" s="8">
        <f t="shared" si="1"/>
        <v>7.2378000493873414E-4</v>
      </c>
      <c r="F11" s="8">
        <v>2.5</v>
      </c>
      <c r="G11" s="8">
        <f t="shared" si="2"/>
        <v>3.6123636332728438E-3</v>
      </c>
      <c r="H11" s="8">
        <f t="shared" si="3"/>
        <v>0.99638763636672711</v>
      </c>
      <c r="I11" s="10">
        <f t="shared" si="6"/>
        <v>97961.413700368808</v>
      </c>
      <c r="J11" s="10">
        <f t="shared" si="7"/>
        <v>353.87224831520871</v>
      </c>
      <c r="K11" s="10">
        <f t="shared" si="4"/>
        <v>488922.387881056</v>
      </c>
      <c r="L11" s="10">
        <f t="shared" si="0"/>
        <v>4783462.9211030146</v>
      </c>
      <c r="M11" s="11">
        <f t="shared" si="5"/>
        <v>48.830072376599496</v>
      </c>
    </row>
    <row r="12" spans="1:13" x14ac:dyDescent="0.35">
      <c r="A12" s="6">
        <v>35</v>
      </c>
      <c r="B12" s="12">
        <v>5</v>
      </c>
      <c r="C12" s="19">
        <v>110002</v>
      </c>
      <c r="D12" s="7">
        <v>130</v>
      </c>
      <c r="E12" s="8">
        <f t="shared" si="1"/>
        <v>1.1817966946055527E-3</v>
      </c>
      <c r="F12" s="8">
        <v>2.5</v>
      </c>
      <c r="G12" s="8">
        <f t="shared" si="2"/>
        <v>5.8915768578861024E-3</v>
      </c>
      <c r="H12" s="8">
        <f t="shared" si="3"/>
        <v>0.9941084231421139</v>
      </c>
      <c r="I12" s="10">
        <f t="shared" si="6"/>
        <v>97607.5414520536</v>
      </c>
      <c r="J12" s="10">
        <f t="shared" si="7"/>
        <v>575.06233237407287</v>
      </c>
      <c r="K12" s="10">
        <f t="shared" si="4"/>
        <v>486600.05142933282</v>
      </c>
      <c r="L12" s="10">
        <f t="shared" si="0"/>
        <v>4294540.5332219582</v>
      </c>
      <c r="M12" s="11">
        <f t="shared" si="5"/>
        <v>43.99804020605832</v>
      </c>
    </row>
    <row r="13" spans="1:13" x14ac:dyDescent="0.35">
      <c r="A13" s="6">
        <v>40</v>
      </c>
      <c r="B13" s="12">
        <v>5</v>
      </c>
      <c r="C13" s="19">
        <v>107869</v>
      </c>
      <c r="D13" s="7">
        <v>182</v>
      </c>
      <c r="E13" s="8">
        <f t="shared" si="1"/>
        <v>1.6872317347894205E-3</v>
      </c>
      <c r="F13" s="8">
        <v>2.5</v>
      </c>
      <c r="G13" s="8">
        <f t="shared" si="2"/>
        <v>8.4007237546619394E-3</v>
      </c>
      <c r="H13" s="8">
        <f t="shared" si="3"/>
        <v>0.99159927624533806</v>
      </c>
      <c r="I13" s="10">
        <f t="shared" si="6"/>
        <v>97032.479119679527</v>
      </c>
      <c r="J13" s="10">
        <f t="shared" si="7"/>
        <v>815.14305231443723</v>
      </c>
      <c r="K13" s="10">
        <f t="shared" si="4"/>
        <v>483124.53796761151</v>
      </c>
      <c r="L13" s="10">
        <f t="shared" si="0"/>
        <v>3807940.4817926255</v>
      </c>
      <c r="M13" s="11">
        <f t="shared" si="5"/>
        <v>39.243978061159552</v>
      </c>
    </row>
    <row r="14" spans="1:13" x14ac:dyDescent="0.35">
      <c r="A14" s="6">
        <v>45</v>
      </c>
      <c r="B14" s="12">
        <v>5</v>
      </c>
      <c r="C14" s="19">
        <v>101612</v>
      </c>
      <c r="D14" s="7">
        <v>340</v>
      </c>
      <c r="E14" s="8">
        <f t="shared" si="1"/>
        <v>3.3460614888005352E-3</v>
      </c>
      <c r="F14" s="8">
        <v>2.5</v>
      </c>
      <c r="G14" s="8">
        <f t="shared" si="2"/>
        <v>1.659151685502918E-2</v>
      </c>
      <c r="H14" s="8">
        <f t="shared" si="3"/>
        <v>0.98340848314497087</v>
      </c>
      <c r="I14" s="10">
        <f t="shared" si="6"/>
        <v>96217.33606736509</v>
      </c>
      <c r="J14" s="10">
        <f t="shared" si="7"/>
        <v>1596.3915531076927</v>
      </c>
      <c r="K14" s="10">
        <f t="shared" si="4"/>
        <v>477095.70145405619</v>
      </c>
      <c r="L14" s="10">
        <f t="shared" si="0"/>
        <v>3324815.9438250139</v>
      </c>
      <c r="M14" s="11">
        <f t="shared" si="5"/>
        <v>34.555269140866621</v>
      </c>
    </row>
    <row r="15" spans="1:13" x14ac:dyDescent="0.35">
      <c r="A15" s="6">
        <v>50</v>
      </c>
      <c r="B15" s="12">
        <v>5</v>
      </c>
      <c r="C15" s="19">
        <v>86508</v>
      </c>
      <c r="D15" s="7">
        <v>433</v>
      </c>
      <c r="E15" s="8">
        <f t="shared" si="1"/>
        <v>5.0053174272899617E-3</v>
      </c>
      <c r="F15" s="8">
        <v>2.5</v>
      </c>
      <c r="G15" s="8">
        <f t="shared" si="2"/>
        <v>2.4717292400431558E-2</v>
      </c>
      <c r="H15" s="8">
        <f t="shared" si="3"/>
        <v>0.97528270759956848</v>
      </c>
      <c r="I15" s="10">
        <f t="shared" si="6"/>
        <v>94620.944514257397</v>
      </c>
      <c r="J15" s="10">
        <f t="shared" si="7"/>
        <v>2338.7735527639015</v>
      </c>
      <c r="K15" s="10">
        <f t="shared" si="4"/>
        <v>467257.78868937725</v>
      </c>
      <c r="L15" s="10">
        <f t="shared" si="0"/>
        <v>2847720.2423709575</v>
      </c>
      <c r="M15" s="11">
        <f t="shared" si="5"/>
        <v>30.096087679000771</v>
      </c>
    </row>
    <row r="16" spans="1:13" x14ac:dyDescent="0.35">
      <c r="A16" s="6">
        <v>55</v>
      </c>
      <c r="B16" s="12">
        <v>5</v>
      </c>
      <c r="C16" s="19">
        <v>71029</v>
      </c>
      <c r="D16" s="7">
        <v>556</v>
      </c>
      <c r="E16" s="8">
        <f t="shared" si="1"/>
        <v>7.8277886497064575E-3</v>
      </c>
      <c r="F16" s="8">
        <v>2.5</v>
      </c>
      <c r="G16" s="8">
        <f t="shared" si="2"/>
        <v>3.8387715930902115E-2</v>
      </c>
      <c r="H16" s="8">
        <f t="shared" si="3"/>
        <v>0.96161228406909793</v>
      </c>
      <c r="I16" s="10">
        <f t="shared" si="6"/>
        <v>92282.170961493495</v>
      </c>
      <c r="J16" s="10">
        <f t="shared" si="7"/>
        <v>3542.5017643567553</v>
      </c>
      <c r="K16" s="10">
        <f t="shared" si="4"/>
        <v>452554.60039657564</v>
      </c>
      <c r="L16" s="10">
        <f t="shared" si="0"/>
        <v>2380462.4536815803</v>
      </c>
      <c r="M16" s="11">
        <f t="shared" si="5"/>
        <v>25.795475213461046</v>
      </c>
    </row>
    <row r="17" spans="1:13" x14ac:dyDescent="0.35">
      <c r="A17" s="6">
        <v>60</v>
      </c>
      <c r="B17" s="12">
        <v>5</v>
      </c>
      <c r="C17" s="19">
        <v>54587</v>
      </c>
      <c r="D17" s="7">
        <v>703</v>
      </c>
      <c r="E17" s="8">
        <f t="shared" si="1"/>
        <v>1.2878524190741385E-2</v>
      </c>
      <c r="F17" s="8">
        <v>2.5</v>
      </c>
      <c r="G17" s="8">
        <f t="shared" si="2"/>
        <v>6.2384083628393192E-2</v>
      </c>
      <c r="H17" s="8">
        <f t="shared" si="3"/>
        <v>0.93761591637160679</v>
      </c>
      <c r="I17" s="10">
        <f t="shared" si="6"/>
        <v>88739.66919713674</v>
      </c>
      <c r="J17" s="10">
        <f t="shared" si="7"/>
        <v>5535.9429443501285</v>
      </c>
      <c r="K17" s="10">
        <f t="shared" si="4"/>
        <v>429858.48862480838</v>
      </c>
      <c r="L17" s="10">
        <f t="shared" si="0"/>
        <v>1927907.8532850046</v>
      </c>
      <c r="M17" s="11">
        <f t="shared" si="5"/>
        <v>21.725434303818773</v>
      </c>
    </row>
    <row r="18" spans="1:13" x14ac:dyDescent="0.35">
      <c r="A18" s="6">
        <v>65</v>
      </c>
      <c r="B18" s="12">
        <v>5</v>
      </c>
      <c r="C18" s="19">
        <v>39619</v>
      </c>
      <c r="D18" s="7">
        <v>792</v>
      </c>
      <c r="E18" s="8">
        <f t="shared" si="1"/>
        <v>1.9990408642318078E-2</v>
      </c>
      <c r="F18" s="8">
        <v>2.5</v>
      </c>
      <c r="G18" s="8">
        <f t="shared" si="2"/>
        <v>9.5194596023942882E-2</v>
      </c>
      <c r="H18" s="8">
        <f t="shared" si="3"/>
        <v>0.90480540397605713</v>
      </c>
      <c r="I18" s="10">
        <f t="shared" si="6"/>
        <v>83203.726252786611</v>
      </c>
      <c r="J18" s="10">
        <f t="shared" si="7"/>
        <v>7920.5451083207445</v>
      </c>
      <c r="K18" s="10">
        <f t="shared" si="4"/>
        <v>396217.26849313121</v>
      </c>
      <c r="L18" s="10">
        <f t="shared" si="0"/>
        <v>1498049.3646601962</v>
      </c>
      <c r="M18" s="11">
        <f t="shared" si="5"/>
        <v>18.004594651312559</v>
      </c>
    </row>
    <row r="19" spans="1:13" x14ac:dyDescent="0.35">
      <c r="A19" s="6">
        <v>70</v>
      </c>
      <c r="B19" s="12">
        <v>5</v>
      </c>
      <c r="C19" s="19">
        <v>29758</v>
      </c>
      <c r="D19" s="7">
        <v>868</v>
      </c>
      <c r="E19" s="8">
        <f t="shared" si="1"/>
        <v>2.9168626923852411E-2</v>
      </c>
      <c r="F19" s="8">
        <v>2.5</v>
      </c>
      <c r="G19" s="8">
        <f t="shared" si="2"/>
        <v>0.13593084439989978</v>
      </c>
      <c r="H19" s="8">
        <f t="shared" si="3"/>
        <v>0.86406915560010022</v>
      </c>
      <c r="I19" s="10">
        <f t="shared" si="6"/>
        <v>75283.181144465867</v>
      </c>
      <c r="J19" s="10">
        <f t="shared" si="7"/>
        <v>10233.306382077855</v>
      </c>
      <c r="K19" s="10">
        <f t="shared" si="4"/>
        <v>350832.63976713474</v>
      </c>
      <c r="L19" s="10">
        <f t="shared" si="0"/>
        <v>1101832.096167065</v>
      </c>
      <c r="M19" s="11">
        <f t="shared" si="5"/>
        <v>14.63583338823962</v>
      </c>
    </row>
    <row r="20" spans="1:13" x14ac:dyDescent="0.35">
      <c r="A20" s="6">
        <v>75</v>
      </c>
      <c r="B20" s="12">
        <v>5</v>
      </c>
      <c r="C20" s="19">
        <v>20785</v>
      </c>
      <c r="D20" s="7">
        <v>957</v>
      </c>
      <c r="E20" s="8">
        <f t="shared" si="1"/>
        <v>4.6042819340870823E-2</v>
      </c>
      <c r="F20" s="8">
        <v>2.5</v>
      </c>
      <c r="G20" s="8">
        <f t="shared" si="2"/>
        <v>0.20645022111962033</v>
      </c>
      <c r="H20" s="8">
        <f t="shared" si="3"/>
        <v>0.7935497788803797</v>
      </c>
      <c r="I20" s="10">
        <f t="shared" si="6"/>
        <v>65049.874762388012</v>
      </c>
      <c r="J20" s="10">
        <f t="shared" si="7"/>
        <v>13429.561028498611</v>
      </c>
      <c r="K20" s="10">
        <f t="shared" si="4"/>
        <v>291675.47124069353</v>
      </c>
      <c r="L20" s="10">
        <f t="shared" si="0"/>
        <v>750999.45639993018</v>
      </c>
      <c r="M20" s="11">
        <f t="shared" si="5"/>
        <v>11.54497928156135</v>
      </c>
    </row>
    <row r="21" spans="1:13" x14ac:dyDescent="0.35">
      <c r="A21" s="6">
        <v>80</v>
      </c>
      <c r="B21" s="12">
        <v>5</v>
      </c>
      <c r="C21" s="19">
        <v>12658</v>
      </c>
      <c r="D21" s="7">
        <v>876</v>
      </c>
      <c r="E21" s="8">
        <f t="shared" si="1"/>
        <v>6.9205245694422504E-2</v>
      </c>
      <c r="F21" s="8">
        <v>2.5</v>
      </c>
      <c r="G21" s="8">
        <f t="shared" si="2"/>
        <v>0.29498922413793105</v>
      </c>
      <c r="H21" s="8">
        <f t="shared" si="3"/>
        <v>0.70501077586206895</v>
      </c>
      <c r="I21" s="10">
        <f t="shared" si="6"/>
        <v>51620.313733889401</v>
      </c>
      <c r="J21" s="10">
        <f t="shared" si="7"/>
        <v>15227.43629811662</v>
      </c>
      <c r="K21" s="10">
        <f t="shared" si="4"/>
        <v>220032.97792415548</v>
      </c>
      <c r="L21" s="10">
        <f>K21+L22</f>
        <v>459323.9851592367</v>
      </c>
      <c r="M21" s="11">
        <f t="shared" si="5"/>
        <v>8.8981246322353247</v>
      </c>
    </row>
    <row r="22" spans="1:13" x14ac:dyDescent="0.35">
      <c r="A22" s="13" t="s">
        <v>12</v>
      </c>
      <c r="B22" s="14"/>
      <c r="C22" s="20">
        <v>9922</v>
      </c>
      <c r="D22" s="15">
        <v>1509</v>
      </c>
      <c r="E22" s="16">
        <f t="shared" si="1"/>
        <v>0.152086272928845</v>
      </c>
      <c r="F22" s="16"/>
      <c r="G22" s="16">
        <v>1</v>
      </c>
      <c r="H22" s="16">
        <f t="shared" si="3"/>
        <v>0</v>
      </c>
      <c r="I22" s="17">
        <f>I21*H21</f>
        <v>36392.877435772782</v>
      </c>
      <c r="J22" s="17">
        <f t="shared" si="7"/>
        <v>36392.877435772782</v>
      </c>
      <c r="K22" s="17">
        <f>I22/E22</f>
        <v>239291.0072350812</v>
      </c>
      <c r="L22" s="17">
        <f>K22</f>
        <v>239291.0072350812</v>
      </c>
      <c r="M22" s="18">
        <f t="shared" si="5"/>
        <v>6.5752153744201456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EDC7-30F4-4D9E-93A2-9B34D57F352A}">
  <dimension ref="A1:M22"/>
  <sheetViews>
    <sheetView zoomScale="90" workbookViewId="0">
      <selection activeCell="M4" sqref="M4:M22"/>
    </sheetView>
  </sheetViews>
  <sheetFormatPr baseColWidth="10" defaultRowHeight="14.5" x14ac:dyDescent="0.35"/>
  <sheetData>
    <row r="1" spans="1:13" x14ac:dyDescent="0.35">
      <c r="A1" s="1" t="s">
        <v>14</v>
      </c>
      <c r="B1" s="2"/>
      <c r="C1" s="3"/>
      <c r="D1" s="3"/>
      <c r="E1" s="3"/>
      <c r="F1" s="3"/>
      <c r="G1" s="3"/>
      <c r="H1" s="3"/>
      <c r="I1" s="3"/>
      <c r="J1" s="3"/>
      <c r="K1" s="3"/>
      <c r="L1" s="3"/>
      <c r="M1" s="3"/>
    </row>
    <row r="2" spans="1:13" x14ac:dyDescent="0.35">
      <c r="A2" s="1"/>
      <c r="B2" s="2"/>
      <c r="C2" s="3"/>
      <c r="D2" s="3"/>
      <c r="E2" s="3"/>
      <c r="F2" s="3"/>
      <c r="G2" s="3"/>
      <c r="H2" s="3"/>
      <c r="I2" s="3"/>
      <c r="J2" s="3"/>
      <c r="K2" s="3"/>
      <c r="L2" s="3"/>
      <c r="M2" s="3"/>
    </row>
    <row r="3" spans="1:13" ht="16" x14ac:dyDescent="0.35">
      <c r="A3" s="4" t="s">
        <v>0</v>
      </c>
      <c r="B3" s="4" t="s">
        <v>1</v>
      </c>
      <c r="C3" s="4" t="s">
        <v>2</v>
      </c>
      <c r="D3" s="4" t="s">
        <v>3</v>
      </c>
      <c r="E3" s="4" t="s">
        <v>4</v>
      </c>
      <c r="F3" s="4" t="s">
        <v>5</v>
      </c>
      <c r="G3" s="4" t="s">
        <v>6</v>
      </c>
      <c r="H3" s="4" t="s">
        <v>7</v>
      </c>
      <c r="I3" s="4" t="s">
        <v>8</v>
      </c>
      <c r="J3" s="4" t="s">
        <v>9</v>
      </c>
      <c r="K3" s="4" t="s">
        <v>10</v>
      </c>
      <c r="L3" s="4" t="s">
        <v>11</v>
      </c>
      <c r="M3" s="5"/>
    </row>
    <row r="4" spans="1:13" x14ac:dyDescent="0.35">
      <c r="A4" s="6">
        <v>0</v>
      </c>
      <c r="B4" s="6">
        <v>1</v>
      </c>
      <c r="C4" s="19">
        <v>28190</v>
      </c>
      <c r="D4" s="7">
        <v>353</v>
      </c>
      <c r="E4" s="8">
        <f>D4/C4</f>
        <v>1.252217098261795E-2</v>
      </c>
      <c r="F4" s="9">
        <f>IF(E4&gt;=0.107,0.35,0.053+2.8*E4)</f>
        <v>8.8062078751330264E-2</v>
      </c>
      <c r="G4" s="8">
        <f>(B4*E4)/(1+(B4-F4)*E4)</f>
        <v>1.2380789270505175E-2</v>
      </c>
      <c r="H4" s="8">
        <f>1-G4</f>
        <v>0.98761921072949488</v>
      </c>
      <c r="I4" s="10">
        <f>100000</f>
        <v>100000</v>
      </c>
      <c r="J4" s="10">
        <f>I4-I5</f>
        <v>1238.0789270505193</v>
      </c>
      <c r="K4" s="10">
        <f>(B4*I5)+(F4*J4)</f>
        <v>98870.948876923765</v>
      </c>
      <c r="L4" s="10">
        <f t="shared" ref="L4:L20" si="0">K4+L5</f>
        <v>7379121.6220602188</v>
      </c>
      <c r="M4" s="11">
        <f>L4/I4</f>
        <v>73.791216220602195</v>
      </c>
    </row>
    <row r="5" spans="1:13" x14ac:dyDescent="0.35">
      <c r="A5" s="12">
        <v>1</v>
      </c>
      <c r="B5" s="12">
        <v>4</v>
      </c>
      <c r="C5" s="19">
        <v>115750</v>
      </c>
      <c r="D5" s="7">
        <v>54</v>
      </c>
      <c r="E5" s="8">
        <f t="shared" ref="E5:E22" si="1">D5/C5</f>
        <v>4.6652267818574511E-4</v>
      </c>
      <c r="F5" s="9">
        <f>IF(E4&gt;=0.107,1.361,1.522-1.518*E4)</f>
        <v>1.502991344448386</v>
      </c>
      <c r="G5" s="8">
        <f t="shared" ref="G5:G21" si="2">(B5*E5)/(1+(B5-F5)*E5)</f>
        <v>1.8639194122082171E-3</v>
      </c>
      <c r="H5" s="8">
        <f t="shared" ref="H5:H22" si="3">1-G5</f>
        <v>0.9981360805877918</v>
      </c>
      <c r="I5" s="10">
        <f>I4*H4</f>
        <v>98761.921072949481</v>
      </c>
      <c r="J5" s="10">
        <f>I5-I6</f>
        <v>184.08426187484292</v>
      </c>
      <c r="K5" s="10">
        <f t="shared" ref="K5:K21" si="4">(B5*I6)+(F5*J5)</f>
        <v>394588.0242965456</v>
      </c>
      <c r="L5" s="10">
        <f t="shared" si="0"/>
        <v>7280250.6731832949</v>
      </c>
      <c r="M5" s="11">
        <f t="shared" ref="M5:M22" si="5">L5/I5</f>
        <v>73.715158576206846</v>
      </c>
    </row>
    <row r="6" spans="1:13" x14ac:dyDescent="0.35">
      <c r="A6" s="12">
        <v>5</v>
      </c>
      <c r="B6" s="12">
        <v>5</v>
      </c>
      <c r="C6" s="19">
        <v>148702</v>
      </c>
      <c r="D6" s="7">
        <v>22</v>
      </c>
      <c r="E6" s="8">
        <f t="shared" si="1"/>
        <v>1.4794690051243427E-4</v>
      </c>
      <c r="F6" s="8">
        <v>2.5</v>
      </c>
      <c r="G6" s="8">
        <f t="shared" si="2"/>
        <v>7.3946100015461467E-4</v>
      </c>
      <c r="H6" s="8">
        <f t="shared" si="3"/>
        <v>0.99926053899984535</v>
      </c>
      <c r="I6" s="10">
        <f t="shared" ref="I6:I21" si="6">I5*H5</f>
        <v>98577.836811074638</v>
      </c>
      <c r="J6" s="10">
        <f t="shared" ref="J6:J22" si="7">I6-I7</f>
        <v>72.89446580139338</v>
      </c>
      <c r="K6" s="10">
        <f t="shared" si="4"/>
        <v>492706.94789086969</v>
      </c>
      <c r="L6" s="10">
        <f t="shared" si="0"/>
        <v>6885662.6488867495</v>
      </c>
      <c r="M6" s="11">
        <f t="shared" si="5"/>
        <v>69.850007584191445</v>
      </c>
    </row>
    <row r="7" spans="1:13" x14ac:dyDescent="0.35">
      <c r="A7" s="12">
        <v>10</v>
      </c>
      <c r="B7" s="12">
        <v>5</v>
      </c>
      <c r="C7" s="19">
        <v>143169</v>
      </c>
      <c r="D7" s="7">
        <v>30</v>
      </c>
      <c r="E7" s="8">
        <f t="shared" si="1"/>
        <v>2.0954256857280557E-4</v>
      </c>
      <c r="F7" s="8">
        <v>2.5</v>
      </c>
      <c r="G7" s="8">
        <f t="shared" si="2"/>
        <v>1.0471642791321102E-3</v>
      </c>
      <c r="H7" s="8">
        <f t="shared" si="3"/>
        <v>0.9989528357208679</v>
      </c>
      <c r="I7" s="10">
        <f t="shared" si="6"/>
        <v>98504.942345273244</v>
      </c>
      <c r="J7" s="10">
        <f t="shared" si="7"/>
        <v>103.1508569419384</v>
      </c>
      <c r="K7" s="10">
        <f t="shared" si="4"/>
        <v>492266.83458401135</v>
      </c>
      <c r="L7" s="10">
        <f t="shared" si="0"/>
        <v>6392955.7009958802</v>
      </c>
      <c r="M7" s="11">
        <f t="shared" si="5"/>
        <v>64.899847142569755</v>
      </c>
    </row>
    <row r="8" spans="1:13" x14ac:dyDescent="0.35">
      <c r="A8" s="6">
        <v>15</v>
      </c>
      <c r="B8" s="12">
        <v>5</v>
      </c>
      <c r="C8" s="19">
        <v>143708</v>
      </c>
      <c r="D8" s="7">
        <v>97</v>
      </c>
      <c r="E8" s="8">
        <f t="shared" si="1"/>
        <v>6.7497982019094275E-4</v>
      </c>
      <c r="F8" s="8">
        <v>2.5</v>
      </c>
      <c r="G8" s="8">
        <f t="shared" si="2"/>
        <v>3.3692137227727594E-3</v>
      </c>
      <c r="H8" s="8">
        <f t="shared" si="3"/>
        <v>0.99663078627722723</v>
      </c>
      <c r="I8" s="10">
        <f t="shared" si="6"/>
        <v>98401.791488331306</v>
      </c>
      <c r="J8" s="10">
        <f t="shared" si="7"/>
        <v>331.53666622791206</v>
      </c>
      <c r="K8" s="10">
        <f t="shared" si="4"/>
        <v>491180.11577608681</v>
      </c>
      <c r="L8" s="10">
        <f t="shared" si="0"/>
        <v>5900688.8664118685</v>
      </c>
      <c r="M8" s="11">
        <f t="shared" si="5"/>
        <v>59.965258529989107</v>
      </c>
    </row>
    <row r="9" spans="1:13" x14ac:dyDescent="0.35">
      <c r="A9" s="6">
        <v>20</v>
      </c>
      <c r="B9" s="12">
        <v>5</v>
      </c>
      <c r="C9" s="19">
        <v>142846</v>
      </c>
      <c r="D9" s="7">
        <v>168</v>
      </c>
      <c r="E9" s="8">
        <f t="shared" si="1"/>
        <v>1.1760917351553422E-3</v>
      </c>
      <c r="F9" s="8">
        <v>2.5</v>
      </c>
      <c r="G9" s="8">
        <f t="shared" si="2"/>
        <v>5.8632194658886265E-3</v>
      </c>
      <c r="H9" s="8">
        <f t="shared" si="3"/>
        <v>0.99413678053411136</v>
      </c>
      <c r="I9" s="10">
        <f t="shared" si="6"/>
        <v>98070.254822103394</v>
      </c>
      <c r="J9" s="10">
        <f t="shared" si="7"/>
        <v>575.00742709761835</v>
      </c>
      <c r="K9" s="10">
        <f t="shared" si="4"/>
        <v>488913.75554277294</v>
      </c>
      <c r="L9" s="10">
        <f t="shared" si="0"/>
        <v>5409508.7506357813</v>
      </c>
      <c r="M9" s="11">
        <f t="shared" si="5"/>
        <v>55.159525795548035</v>
      </c>
    </row>
    <row r="10" spans="1:13" x14ac:dyDescent="0.35">
      <c r="A10" s="6">
        <v>25</v>
      </c>
      <c r="B10" s="12">
        <v>5</v>
      </c>
      <c r="C10" s="19">
        <v>135859</v>
      </c>
      <c r="D10" s="7">
        <v>174</v>
      </c>
      <c r="E10" s="8">
        <f t="shared" si="1"/>
        <v>1.2807395903105426E-3</v>
      </c>
      <c r="F10" s="8">
        <v>2.5</v>
      </c>
      <c r="G10" s="8">
        <f t="shared" si="2"/>
        <v>6.3832597179626404E-3</v>
      </c>
      <c r="H10" s="8">
        <f t="shared" si="3"/>
        <v>0.99361674028203739</v>
      </c>
      <c r="I10" s="10">
        <f t="shared" si="6"/>
        <v>97495.247395005776</v>
      </c>
      <c r="J10" s="10">
        <f t="shared" si="7"/>
        <v>622.33748538933287</v>
      </c>
      <c r="K10" s="10">
        <f t="shared" si="4"/>
        <v>485920.39326155558</v>
      </c>
      <c r="L10" s="10">
        <f t="shared" si="0"/>
        <v>4920594.9950930085</v>
      </c>
      <c r="M10" s="11">
        <f t="shared" si="5"/>
        <v>50.470101123565819</v>
      </c>
    </row>
    <row r="11" spans="1:13" x14ac:dyDescent="0.35">
      <c r="A11" s="6">
        <v>30</v>
      </c>
      <c r="B11" s="12">
        <v>5</v>
      </c>
      <c r="C11" s="19">
        <v>118554</v>
      </c>
      <c r="D11" s="7">
        <v>187</v>
      </c>
      <c r="E11" s="8">
        <f t="shared" si="1"/>
        <v>1.5773402837525516E-3</v>
      </c>
      <c r="F11" s="8">
        <v>2.5</v>
      </c>
      <c r="G11" s="8">
        <f t="shared" si="2"/>
        <v>7.8557235457459365E-3</v>
      </c>
      <c r="H11" s="8">
        <f t="shared" si="3"/>
        <v>0.99214427645425407</v>
      </c>
      <c r="I11" s="10">
        <f t="shared" si="6"/>
        <v>96872.909909616443</v>
      </c>
      <c r="J11" s="10">
        <f t="shared" si="7"/>
        <v>761.00679932189814</v>
      </c>
      <c r="K11" s="10">
        <f t="shared" si="4"/>
        <v>482462.03254977748</v>
      </c>
      <c r="L11" s="10">
        <f t="shared" si="0"/>
        <v>4434674.6018314529</v>
      </c>
      <c r="M11" s="11">
        <f t="shared" si="5"/>
        <v>45.778273884505545</v>
      </c>
    </row>
    <row r="12" spans="1:13" x14ac:dyDescent="0.35">
      <c r="A12" s="6">
        <v>35</v>
      </c>
      <c r="B12" s="12">
        <v>5</v>
      </c>
      <c r="C12" s="19">
        <v>102429</v>
      </c>
      <c r="D12" s="7">
        <v>201</v>
      </c>
      <c r="E12" s="8">
        <f t="shared" si="1"/>
        <v>1.9623348856280935E-3</v>
      </c>
      <c r="F12" s="8">
        <v>2.5</v>
      </c>
      <c r="G12" s="8">
        <f t="shared" si="2"/>
        <v>9.7637749377012858E-3</v>
      </c>
      <c r="H12" s="8">
        <f t="shared" si="3"/>
        <v>0.99023622506229869</v>
      </c>
      <c r="I12" s="10">
        <f t="shared" si="6"/>
        <v>96111.903110294545</v>
      </c>
      <c r="J12" s="10">
        <f t="shared" si="7"/>
        <v>938.41499080306676</v>
      </c>
      <c r="K12" s="10">
        <f t="shared" si="4"/>
        <v>478213.47807446506</v>
      </c>
      <c r="L12" s="10">
        <f t="shared" si="0"/>
        <v>3952212.5692816754</v>
      </c>
      <c r="M12" s="11">
        <f t="shared" si="5"/>
        <v>41.120947992739872</v>
      </c>
    </row>
    <row r="13" spans="1:13" x14ac:dyDescent="0.35">
      <c r="A13" s="6">
        <v>40</v>
      </c>
      <c r="B13" s="12">
        <v>5</v>
      </c>
      <c r="C13" s="19">
        <v>97705</v>
      </c>
      <c r="D13" s="7">
        <v>338</v>
      </c>
      <c r="E13" s="8">
        <f t="shared" si="1"/>
        <v>3.4593930709789673E-3</v>
      </c>
      <c r="F13" s="8">
        <v>2.5</v>
      </c>
      <c r="G13" s="8">
        <f t="shared" si="2"/>
        <v>1.714865550481989E-2</v>
      </c>
      <c r="H13" s="8">
        <f t="shared" si="3"/>
        <v>0.98285134449518008</v>
      </c>
      <c r="I13" s="10">
        <f t="shared" si="6"/>
        <v>95173.488119491478</v>
      </c>
      <c r="J13" s="10">
        <f t="shared" si="7"/>
        <v>1632.0973609532375</v>
      </c>
      <c r="K13" s="10">
        <f t="shared" si="4"/>
        <v>471787.19719507435</v>
      </c>
      <c r="L13" s="10">
        <f t="shared" si="0"/>
        <v>3473999.0912072104</v>
      </c>
      <c r="M13" s="11">
        <f t="shared" si="5"/>
        <v>36.501752324613363</v>
      </c>
    </row>
    <row r="14" spans="1:13" x14ac:dyDescent="0.35">
      <c r="A14" s="6">
        <v>45</v>
      </c>
      <c r="B14" s="12">
        <v>5</v>
      </c>
      <c r="C14" s="19">
        <v>94965</v>
      </c>
      <c r="D14" s="7">
        <v>470</v>
      </c>
      <c r="E14" s="8">
        <f t="shared" si="1"/>
        <v>4.9491918075080295E-3</v>
      </c>
      <c r="F14" s="8">
        <v>2.5</v>
      </c>
      <c r="G14" s="8">
        <f t="shared" si="2"/>
        <v>2.444351986686083E-2</v>
      </c>
      <c r="H14" s="8">
        <f t="shared" si="3"/>
        <v>0.97555648013313911</v>
      </c>
      <c r="I14" s="10">
        <f t="shared" si="6"/>
        <v>93541.39075853824</v>
      </c>
      <c r="J14" s="10">
        <f t="shared" si="7"/>
        <v>2286.4808433801227</v>
      </c>
      <c r="K14" s="10">
        <f t="shared" si="4"/>
        <v>461990.75168424088</v>
      </c>
      <c r="L14" s="10">
        <f t="shared" si="0"/>
        <v>3002211.8940121359</v>
      </c>
      <c r="M14" s="11">
        <f t="shared" si="5"/>
        <v>32.09501023735956</v>
      </c>
    </row>
    <row r="15" spans="1:13" x14ac:dyDescent="0.35">
      <c r="A15" s="6">
        <v>50</v>
      </c>
      <c r="B15" s="12">
        <v>5</v>
      </c>
      <c r="C15" s="19">
        <v>82978</v>
      </c>
      <c r="D15" s="7">
        <v>577</v>
      </c>
      <c r="E15" s="8">
        <f t="shared" si="1"/>
        <v>6.9536503651570292E-3</v>
      </c>
      <c r="F15" s="8">
        <v>2.5</v>
      </c>
      <c r="G15" s="8">
        <f t="shared" si="2"/>
        <v>3.417416385830456E-2</v>
      </c>
      <c r="H15" s="8">
        <f t="shared" si="3"/>
        <v>0.96582583614169548</v>
      </c>
      <c r="I15" s="10">
        <f t="shared" si="6"/>
        <v>91254.909915158118</v>
      </c>
      <c r="J15" s="10">
        <f t="shared" si="7"/>
        <v>3118.5602443154348</v>
      </c>
      <c r="K15" s="10">
        <f t="shared" si="4"/>
        <v>448478.14896500204</v>
      </c>
      <c r="L15" s="10">
        <f t="shared" si="0"/>
        <v>2540221.1423278949</v>
      </c>
      <c r="M15" s="11">
        <f t="shared" si="5"/>
        <v>27.836542107044973</v>
      </c>
    </row>
    <row r="16" spans="1:13" x14ac:dyDescent="0.35">
      <c r="A16" s="6">
        <v>55</v>
      </c>
      <c r="B16" s="12">
        <v>5</v>
      </c>
      <c r="C16" s="19">
        <v>68640</v>
      </c>
      <c r="D16" s="7">
        <v>714</v>
      </c>
      <c r="E16" s="8">
        <f t="shared" si="1"/>
        <v>1.0402097902097902E-2</v>
      </c>
      <c r="F16" s="8">
        <v>2.5</v>
      </c>
      <c r="G16" s="8">
        <f t="shared" si="2"/>
        <v>5.0692225772097976E-2</v>
      </c>
      <c r="H16" s="8">
        <f t="shared" si="3"/>
        <v>0.94930777422790202</v>
      </c>
      <c r="I16" s="10">
        <f t="shared" si="6"/>
        <v>88136.349670842683</v>
      </c>
      <c r="J16" s="10">
        <f t="shared" si="7"/>
        <v>4467.8277362429362</v>
      </c>
      <c r="K16" s="10">
        <f t="shared" si="4"/>
        <v>429512.17901360604</v>
      </c>
      <c r="L16" s="10">
        <f t="shared" si="0"/>
        <v>2091742.9933628929</v>
      </c>
      <c r="M16" s="11">
        <f t="shared" si="5"/>
        <v>23.733034113334565</v>
      </c>
    </row>
    <row r="17" spans="1:13" x14ac:dyDescent="0.35">
      <c r="A17" s="6">
        <v>60</v>
      </c>
      <c r="B17" s="12">
        <v>5</v>
      </c>
      <c r="C17" s="19">
        <v>52499</v>
      </c>
      <c r="D17" s="7">
        <v>926</v>
      </c>
      <c r="E17" s="8">
        <f t="shared" si="1"/>
        <v>1.7638431208213491E-2</v>
      </c>
      <c r="F17" s="8">
        <v>2.5</v>
      </c>
      <c r="G17" s="8">
        <f t="shared" si="2"/>
        <v>8.4467471813770206E-2</v>
      </c>
      <c r="H17" s="8">
        <f t="shared" si="3"/>
        <v>0.91553252818622977</v>
      </c>
      <c r="I17" s="10">
        <f t="shared" si="6"/>
        <v>83668.521934599747</v>
      </c>
      <c r="J17" s="10">
        <f t="shared" si="7"/>
        <v>7067.2685182106216</v>
      </c>
      <c r="K17" s="10">
        <f t="shared" si="4"/>
        <v>400674.43837747216</v>
      </c>
      <c r="L17" s="10">
        <f t="shared" si="0"/>
        <v>1662230.8143492867</v>
      </c>
      <c r="M17" s="11">
        <f t="shared" si="5"/>
        <v>19.866860031883729</v>
      </c>
    </row>
    <row r="18" spans="1:13" x14ac:dyDescent="0.35">
      <c r="A18" s="6">
        <v>65</v>
      </c>
      <c r="B18" s="12">
        <v>5</v>
      </c>
      <c r="C18" s="19">
        <v>37388</v>
      </c>
      <c r="D18" s="7">
        <v>1011</v>
      </c>
      <c r="E18" s="8">
        <f t="shared" si="1"/>
        <v>2.7040761741735315E-2</v>
      </c>
      <c r="F18" s="8">
        <v>2.5</v>
      </c>
      <c r="G18" s="8">
        <f t="shared" si="2"/>
        <v>0.1266425323495885</v>
      </c>
      <c r="H18" s="8">
        <f t="shared" si="3"/>
        <v>0.87335746765041145</v>
      </c>
      <c r="I18" s="10">
        <f t="shared" si="6"/>
        <v>76601.253416389125</v>
      </c>
      <c r="J18" s="10">
        <f t="shared" si="7"/>
        <v>9700.9767138040916</v>
      </c>
      <c r="K18" s="10">
        <f t="shared" si="4"/>
        <v>358753.8252974354</v>
      </c>
      <c r="L18" s="10">
        <f t="shared" si="0"/>
        <v>1261556.3759718146</v>
      </c>
      <c r="M18" s="11">
        <f t="shared" si="5"/>
        <v>16.469134899323983</v>
      </c>
    </row>
    <row r="19" spans="1:13" x14ac:dyDescent="0.35">
      <c r="A19" s="6">
        <v>70</v>
      </c>
      <c r="B19" s="12">
        <v>5</v>
      </c>
      <c r="C19" s="19">
        <v>27306</v>
      </c>
      <c r="D19" s="7">
        <v>1049</v>
      </c>
      <c r="E19" s="8">
        <f t="shared" si="1"/>
        <v>3.8416465245733541E-2</v>
      </c>
      <c r="F19" s="8">
        <v>2.5</v>
      </c>
      <c r="G19" s="8">
        <f t="shared" si="2"/>
        <v>0.17525101491889006</v>
      </c>
      <c r="H19" s="8">
        <f t="shared" si="3"/>
        <v>0.82474898508110994</v>
      </c>
      <c r="I19" s="10">
        <f t="shared" si="6"/>
        <v>66900.276702585033</v>
      </c>
      <c r="J19" s="10">
        <f t="shared" si="7"/>
        <v>11724.341390482601</v>
      </c>
      <c r="K19" s="10">
        <f t="shared" si="4"/>
        <v>305190.53003671864</v>
      </c>
      <c r="L19" s="10">
        <f t="shared" si="0"/>
        <v>902802.55067437934</v>
      </c>
      <c r="M19" s="11">
        <f t="shared" si="5"/>
        <v>13.494750622451386</v>
      </c>
    </row>
    <row r="20" spans="1:13" x14ac:dyDescent="0.35">
      <c r="A20" s="6">
        <v>75</v>
      </c>
      <c r="B20" s="12">
        <v>5</v>
      </c>
      <c r="C20" s="19">
        <v>18326</v>
      </c>
      <c r="D20" s="7">
        <v>1038</v>
      </c>
      <c r="E20" s="8">
        <f t="shared" si="1"/>
        <v>5.6640838153443195E-2</v>
      </c>
      <c r="F20" s="8">
        <v>2.5</v>
      </c>
      <c r="G20" s="8">
        <f t="shared" si="2"/>
        <v>0.24807609578892023</v>
      </c>
      <c r="H20" s="8">
        <f t="shared" si="3"/>
        <v>0.7519239042110798</v>
      </c>
      <c r="I20" s="10">
        <f t="shared" si="6"/>
        <v>55175.935312102432</v>
      </c>
      <c r="J20" s="10">
        <f t="shared" si="7"/>
        <v>13687.830613728387</v>
      </c>
      <c r="K20" s="10">
        <f t="shared" si="4"/>
        <v>241660.10002619121</v>
      </c>
      <c r="L20" s="10">
        <f t="shared" si="0"/>
        <v>597612.02063766064</v>
      </c>
      <c r="M20" s="11">
        <f t="shared" si="5"/>
        <v>10.831026556365034</v>
      </c>
    </row>
    <row r="21" spans="1:13" x14ac:dyDescent="0.35">
      <c r="A21" s="6">
        <v>80</v>
      </c>
      <c r="B21" s="12">
        <v>5</v>
      </c>
      <c r="C21" s="19">
        <v>10678</v>
      </c>
      <c r="D21" s="7">
        <v>978</v>
      </c>
      <c r="E21" s="8">
        <f t="shared" si="1"/>
        <v>9.1590185427982765E-2</v>
      </c>
      <c r="F21" s="8">
        <v>2.5</v>
      </c>
      <c r="G21" s="8">
        <f t="shared" si="2"/>
        <v>0.37262821001295438</v>
      </c>
      <c r="H21" s="8">
        <f t="shared" si="3"/>
        <v>0.62737178998704568</v>
      </c>
      <c r="I21" s="10">
        <f t="shared" si="6"/>
        <v>41488.104698374045</v>
      </c>
      <c r="J21" s="10">
        <f t="shared" si="7"/>
        <v>15459.638190585159</v>
      </c>
      <c r="K21" s="10">
        <f t="shared" si="4"/>
        <v>168791.42801540735</v>
      </c>
      <c r="L21" s="10">
        <f>K21+L22</f>
        <v>355951.92061146942</v>
      </c>
      <c r="M21" s="11">
        <f t="shared" si="5"/>
        <v>8.5796139206479456</v>
      </c>
    </row>
    <row r="22" spans="1:13" x14ac:dyDescent="0.35">
      <c r="A22" s="13" t="s">
        <v>12</v>
      </c>
      <c r="B22" s="14"/>
      <c r="C22" s="20">
        <v>7809</v>
      </c>
      <c r="D22" s="15">
        <v>1086</v>
      </c>
      <c r="E22" s="16">
        <f t="shared" si="1"/>
        <v>0.13907030349596619</v>
      </c>
      <c r="F22" s="16"/>
      <c r="G22" s="16">
        <v>1</v>
      </c>
      <c r="H22" s="16">
        <f t="shared" si="3"/>
        <v>0</v>
      </c>
      <c r="I22" s="17">
        <f>I21*H21</f>
        <v>26028.466507788886</v>
      </c>
      <c r="J22" s="17">
        <f t="shared" si="7"/>
        <v>26028.466507788886</v>
      </c>
      <c r="K22" s="17">
        <f>I22/E22</f>
        <v>187160.49259606207</v>
      </c>
      <c r="L22" s="17">
        <f>K22</f>
        <v>187160.49259606207</v>
      </c>
      <c r="M22" s="18">
        <f t="shared" si="5"/>
        <v>7.1906077348066297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C605-6C66-4AC5-9231-5D9FB1BF2530}">
  <dimension ref="A1:AL43"/>
  <sheetViews>
    <sheetView tabSelected="1" topLeftCell="E1" zoomScale="85" workbookViewId="0">
      <selection activeCell="D25" sqref="D25"/>
    </sheetView>
  </sheetViews>
  <sheetFormatPr baseColWidth="10" defaultRowHeight="14.5" x14ac:dyDescent="0.35"/>
  <cols>
    <col min="4" max="5" width="16.1796875" customWidth="1"/>
  </cols>
  <sheetData>
    <row r="1" spans="1:38" x14ac:dyDescent="0.35">
      <c r="A1" s="28" t="s">
        <v>18</v>
      </c>
      <c r="B1" s="28"/>
      <c r="C1" s="28"/>
      <c r="D1" s="28"/>
      <c r="E1" s="28"/>
    </row>
    <row r="2" spans="1:38" ht="15" thickBot="1" x14ac:dyDescent="0.4">
      <c r="A2" s="29"/>
      <c r="B2" s="29"/>
      <c r="C2" s="29"/>
      <c r="D2" s="29"/>
      <c r="E2" s="29"/>
    </row>
    <row r="3" spans="1:38" ht="14.5" customHeight="1" x14ac:dyDescent="0.35">
      <c r="A3" s="27"/>
      <c r="B3" s="27"/>
      <c r="C3" s="25"/>
      <c r="D3" s="30" t="s">
        <v>15</v>
      </c>
      <c r="E3" s="30"/>
      <c r="W3" s="32" t="s">
        <v>19</v>
      </c>
      <c r="X3" s="32"/>
      <c r="Y3" s="32"/>
      <c r="Z3" s="32"/>
      <c r="AA3" s="32"/>
      <c r="AB3" s="32"/>
      <c r="AC3" s="32"/>
      <c r="AD3" s="32"/>
      <c r="AE3" s="32"/>
      <c r="AF3" s="32"/>
      <c r="AG3" s="32"/>
      <c r="AH3" s="32"/>
      <c r="AI3" s="32"/>
      <c r="AJ3" s="33"/>
      <c r="AK3" s="33"/>
      <c r="AL3" s="33"/>
    </row>
    <row r="4" spans="1:38" x14ac:dyDescent="0.35">
      <c r="A4" s="22" t="s">
        <v>16</v>
      </c>
      <c r="B4" s="23" t="s">
        <v>17</v>
      </c>
      <c r="C4" s="26"/>
      <c r="D4" s="22" t="s">
        <v>16</v>
      </c>
      <c r="E4" s="23" t="s">
        <v>17</v>
      </c>
      <c r="W4" s="32"/>
      <c r="X4" s="32"/>
      <c r="Y4" s="32"/>
      <c r="Z4" s="32"/>
      <c r="AA4" s="32"/>
      <c r="AB4" s="32"/>
      <c r="AC4" s="32"/>
      <c r="AD4" s="32"/>
      <c r="AE4" s="32"/>
      <c r="AF4" s="32"/>
      <c r="AG4" s="32"/>
      <c r="AH4" s="32"/>
      <c r="AI4" s="32"/>
      <c r="AJ4" s="33"/>
      <c r="AK4" s="33"/>
      <c r="AL4" s="33"/>
    </row>
    <row r="5" spans="1:38" ht="17.5" customHeight="1" x14ac:dyDescent="0.35">
      <c r="A5" s="24">
        <v>73.791216220602195</v>
      </c>
      <c r="B5" s="24">
        <v>77.399471586890854</v>
      </c>
      <c r="C5" s="25"/>
      <c r="D5" s="21">
        <v>1.2380789270505175E-2</v>
      </c>
      <c r="E5" s="21">
        <v>1.0290148837672328E-2</v>
      </c>
      <c r="W5" s="32"/>
      <c r="X5" s="32"/>
      <c r="Y5" s="32"/>
      <c r="Z5" s="32"/>
      <c r="AA5" s="32"/>
      <c r="AB5" s="32"/>
      <c r="AC5" s="32"/>
      <c r="AD5" s="32"/>
      <c r="AE5" s="32"/>
      <c r="AF5" s="32"/>
      <c r="AG5" s="32"/>
      <c r="AH5" s="32"/>
      <c r="AI5" s="32"/>
      <c r="AJ5" s="33"/>
      <c r="AK5" s="33"/>
      <c r="AL5" s="33"/>
    </row>
    <row r="6" spans="1:38" x14ac:dyDescent="0.35">
      <c r="A6" s="24">
        <v>73.715158576206846</v>
      </c>
      <c r="B6" s="24">
        <v>77.20335101940843</v>
      </c>
      <c r="C6" s="25"/>
      <c r="D6" s="21">
        <v>1.8639194122082171E-3</v>
      </c>
      <c r="E6" s="21">
        <v>1.6921508307879852E-3</v>
      </c>
      <c r="W6" s="32"/>
      <c r="X6" s="32"/>
      <c r="Y6" s="32"/>
      <c r="Z6" s="32"/>
      <c r="AA6" s="32"/>
      <c r="AB6" s="32"/>
      <c r="AC6" s="32"/>
      <c r="AD6" s="32"/>
      <c r="AE6" s="32"/>
      <c r="AF6" s="32"/>
      <c r="AG6" s="32"/>
      <c r="AH6" s="32"/>
      <c r="AI6" s="32"/>
      <c r="AJ6" s="33"/>
      <c r="AK6" s="33"/>
      <c r="AL6" s="33"/>
    </row>
    <row r="7" spans="1:38" ht="14.5" customHeight="1" x14ac:dyDescent="0.35">
      <c r="A7" s="24">
        <v>69.850007584191445</v>
      </c>
      <c r="B7" s="24">
        <v>73.331659081199504</v>
      </c>
      <c r="C7" s="25"/>
      <c r="D7" s="21">
        <v>7.3946100015461467E-4</v>
      </c>
      <c r="E7" s="21">
        <v>9.482101655153523E-4</v>
      </c>
      <c r="W7" s="32"/>
      <c r="X7" s="32"/>
      <c r="Y7" s="32"/>
      <c r="Z7" s="32"/>
      <c r="AA7" s="32"/>
      <c r="AB7" s="32"/>
      <c r="AC7" s="32"/>
      <c r="AD7" s="32"/>
      <c r="AE7" s="32"/>
      <c r="AF7" s="32"/>
      <c r="AG7" s="32"/>
      <c r="AH7" s="32"/>
      <c r="AI7" s="32"/>
      <c r="AJ7" s="33"/>
      <c r="AK7" s="33"/>
      <c r="AL7" s="33"/>
    </row>
    <row r="8" spans="1:38" x14ac:dyDescent="0.35">
      <c r="A8" s="24">
        <v>64.899847142569755</v>
      </c>
      <c r="B8" s="24">
        <v>68.398886125747651</v>
      </c>
      <c r="C8" s="25"/>
      <c r="D8" s="21">
        <v>1.0471642791321102E-3</v>
      </c>
      <c r="E8" s="21">
        <v>9.0520347163635447E-4</v>
      </c>
      <c r="W8" s="32"/>
      <c r="X8" s="32"/>
      <c r="Y8" s="32"/>
      <c r="Z8" s="32"/>
      <c r="AA8" s="32"/>
      <c r="AB8" s="32"/>
      <c r="AC8" s="32"/>
      <c r="AD8" s="32"/>
      <c r="AE8" s="32"/>
      <c r="AF8" s="32"/>
      <c r="AG8" s="32"/>
      <c r="AH8" s="32"/>
      <c r="AI8" s="32"/>
      <c r="AJ8" s="33"/>
      <c r="AK8" s="33"/>
      <c r="AL8" s="33"/>
    </row>
    <row r="9" spans="1:38" x14ac:dyDescent="0.35">
      <c r="A9" s="24">
        <v>59.965258529989107</v>
      </c>
      <c r="B9" s="24">
        <v>63.458592072275721</v>
      </c>
      <c r="C9" s="25"/>
      <c r="D9" s="21">
        <v>3.3692137227727594E-3</v>
      </c>
      <c r="E9" s="21">
        <v>1.7659503155284695E-3</v>
      </c>
      <c r="W9" s="32"/>
      <c r="X9" s="32"/>
      <c r="Y9" s="32"/>
      <c r="Z9" s="32"/>
      <c r="AA9" s="32"/>
      <c r="AB9" s="32"/>
      <c r="AC9" s="32"/>
      <c r="AD9" s="32"/>
      <c r="AE9" s="32"/>
      <c r="AF9" s="32"/>
      <c r="AG9" s="32"/>
      <c r="AH9" s="32"/>
      <c r="AI9" s="32"/>
      <c r="AJ9" s="33"/>
      <c r="AK9" s="33"/>
      <c r="AL9" s="33"/>
    </row>
    <row r="10" spans="1:38" x14ac:dyDescent="0.35">
      <c r="A10" s="24">
        <v>55.159525795548035</v>
      </c>
      <c r="B10" s="24">
        <v>58.566432357766111</v>
      </c>
      <c r="C10" s="25"/>
      <c r="D10" s="21">
        <v>5.8632194658886265E-3</v>
      </c>
      <c r="E10" s="21">
        <v>2.1624950061026344E-3</v>
      </c>
      <c r="W10" s="32"/>
      <c r="X10" s="32"/>
      <c r="Y10" s="32"/>
      <c r="Z10" s="32"/>
      <c r="AA10" s="32"/>
      <c r="AB10" s="32"/>
      <c r="AC10" s="32"/>
      <c r="AD10" s="32"/>
      <c r="AE10" s="32"/>
      <c r="AF10" s="32"/>
      <c r="AG10" s="32"/>
      <c r="AH10" s="32"/>
      <c r="AI10" s="32"/>
      <c r="AJ10" s="33"/>
      <c r="AK10" s="33"/>
      <c r="AL10" s="33"/>
    </row>
    <row r="11" spans="1:38" x14ac:dyDescent="0.35">
      <c r="A11" s="24">
        <v>50.470101123565819</v>
      </c>
      <c r="B11" s="24">
        <v>53.68793849416295</v>
      </c>
      <c r="C11" s="25"/>
      <c r="D11" s="21">
        <v>6.3832597179626404E-3</v>
      </c>
      <c r="E11" s="21">
        <v>2.7690177678640106E-3</v>
      </c>
      <c r="W11" s="32"/>
      <c r="X11" s="32"/>
      <c r="Y11" s="32"/>
      <c r="Z11" s="32"/>
      <c r="AA11" s="32"/>
      <c r="AB11" s="32"/>
      <c r="AC11" s="32"/>
      <c r="AD11" s="32"/>
      <c r="AE11" s="32"/>
      <c r="AF11" s="32"/>
      <c r="AG11" s="32"/>
      <c r="AH11" s="32"/>
      <c r="AI11" s="32"/>
      <c r="AJ11" s="33"/>
      <c r="AK11" s="33"/>
      <c r="AL11" s="33"/>
    </row>
    <row r="12" spans="1:38" x14ac:dyDescent="0.35">
      <c r="A12" s="24">
        <v>45.778273884505545</v>
      </c>
      <c r="B12" s="24">
        <v>48.830072376599496</v>
      </c>
      <c r="C12" s="25"/>
      <c r="D12" s="21">
        <v>7.8557235457459365E-3</v>
      </c>
      <c r="E12" s="21">
        <v>3.6123636332728438E-3</v>
      </c>
      <c r="W12" s="32"/>
      <c r="X12" s="32"/>
      <c r="Y12" s="32"/>
      <c r="Z12" s="32"/>
      <c r="AA12" s="32"/>
      <c r="AB12" s="32"/>
      <c r="AC12" s="32"/>
      <c r="AD12" s="32"/>
      <c r="AE12" s="32"/>
      <c r="AF12" s="32"/>
      <c r="AG12" s="32"/>
      <c r="AH12" s="32"/>
      <c r="AI12" s="32"/>
      <c r="AJ12" s="33"/>
      <c r="AK12" s="33"/>
      <c r="AL12" s="33"/>
    </row>
    <row r="13" spans="1:38" x14ac:dyDescent="0.35">
      <c r="A13" s="24">
        <v>41.120947992739872</v>
      </c>
      <c r="B13" s="24">
        <v>43.99804020605832</v>
      </c>
      <c r="C13" s="25"/>
      <c r="D13" s="21">
        <v>9.7637749377012858E-3</v>
      </c>
      <c r="E13" s="21">
        <v>5.8915768578861024E-3</v>
      </c>
      <c r="W13" s="32"/>
      <c r="X13" s="32"/>
      <c r="Y13" s="32"/>
      <c r="Z13" s="32"/>
      <c r="AA13" s="32"/>
      <c r="AB13" s="32"/>
      <c r="AC13" s="32"/>
      <c r="AD13" s="32"/>
      <c r="AE13" s="32"/>
      <c r="AF13" s="32"/>
      <c r="AG13" s="32"/>
      <c r="AH13" s="32"/>
      <c r="AI13" s="32"/>
      <c r="AJ13" s="33"/>
      <c r="AK13" s="33"/>
      <c r="AL13" s="33"/>
    </row>
    <row r="14" spans="1:38" x14ac:dyDescent="0.35">
      <c r="A14" s="24">
        <v>36.501752324613363</v>
      </c>
      <c r="B14" s="24">
        <v>39.243978061159552</v>
      </c>
      <c r="C14" s="25"/>
      <c r="D14" s="21">
        <v>1.714865550481989E-2</v>
      </c>
      <c r="E14" s="21">
        <v>8.4007237546619394E-3</v>
      </c>
      <c r="W14" s="32"/>
      <c r="X14" s="32"/>
      <c r="Y14" s="32"/>
      <c r="Z14" s="32"/>
      <c r="AA14" s="32"/>
      <c r="AB14" s="32"/>
      <c r="AC14" s="32"/>
      <c r="AD14" s="32"/>
      <c r="AE14" s="32"/>
      <c r="AF14" s="32"/>
      <c r="AG14" s="32"/>
      <c r="AH14" s="32"/>
      <c r="AI14" s="32"/>
      <c r="AJ14" s="33"/>
      <c r="AK14" s="33"/>
      <c r="AL14" s="33"/>
    </row>
    <row r="15" spans="1:38" x14ac:dyDescent="0.35">
      <c r="A15" s="24">
        <v>32.09501023735956</v>
      </c>
      <c r="B15" s="24">
        <v>34.555269140866621</v>
      </c>
      <c r="C15" s="25"/>
      <c r="D15" s="21">
        <v>2.444351986686083E-2</v>
      </c>
      <c r="E15" s="21">
        <v>1.659151685502918E-2</v>
      </c>
      <c r="W15" s="32"/>
      <c r="X15" s="32"/>
      <c r="Y15" s="32"/>
      <c r="Z15" s="32"/>
      <c r="AA15" s="32"/>
      <c r="AB15" s="32"/>
      <c r="AC15" s="32"/>
      <c r="AD15" s="32"/>
      <c r="AE15" s="32"/>
      <c r="AF15" s="32"/>
      <c r="AG15" s="32"/>
      <c r="AH15" s="32"/>
      <c r="AI15" s="32"/>
      <c r="AJ15" s="33"/>
      <c r="AK15" s="33"/>
      <c r="AL15" s="33"/>
    </row>
    <row r="16" spans="1:38" x14ac:dyDescent="0.35">
      <c r="A16" s="24">
        <v>27.836542107044973</v>
      </c>
      <c r="B16" s="24">
        <v>30.096087679000771</v>
      </c>
      <c r="C16" s="25"/>
      <c r="D16" s="21">
        <v>3.417416385830456E-2</v>
      </c>
      <c r="E16" s="21">
        <v>2.4717292400431558E-2</v>
      </c>
      <c r="W16" s="32"/>
      <c r="X16" s="32"/>
      <c r="Y16" s="32"/>
      <c r="Z16" s="32"/>
      <c r="AA16" s="32"/>
      <c r="AB16" s="32"/>
      <c r="AC16" s="32"/>
      <c r="AD16" s="32"/>
      <c r="AE16" s="32"/>
      <c r="AF16" s="32"/>
      <c r="AG16" s="32"/>
      <c r="AH16" s="32"/>
      <c r="AI16" s="32"/>
      <c r="AJ16" s="33"/>
      <c r="AK16" s="33"/>
      <c r="AL16" s="33"/>
    </row>
    <row r="17" spans="1:38" x14ac:dyDescent="0.35">
      <c r="A17" s="24">
        <v>23.733034113334565</v>
      </c>
      <c r="B17" s="24">
        <v>25.795475213461046</v>
      </c>
      <c r="C17" s="25"/>
      <c r="D17" s="21">
        <v>5.0692225772097976E-2</v>
      </c>
      <c r="E17" s="21">
        <v>3.8387715930902115E-2</v>
      </c>
      <c r="W17" s="32"/>
      <c r="X17" s="32"/>
      <c r="Y17" s="32"/>
      <c r="Z17" s="32"/>
      <c r="AA17" s="32"/>
      <c r="AB17" s="32"/>
      <c r="AC17" s="32"/>
      <c r="AD17" s="32"/>
      <c r="AE17" s="32"/>
      <c r="AF17" s="32"/>
      <c r="AG17" s="32"/>
      <c r="AH17" s="32"/>
      <c r="AI17" s="32"/>
      <c r="AJ17" s="33"/>
      <c r="AK17" s="33"/>
      <c r="AL17" s="33"/>
    </row>
    <row r="18" spans="1:38" x14ac:dyDescent="0.35">
      <c r="A18" s="24">
        <v>19.866860031883729</v>
      </c>
      <c r="B18" s="24">
        <v>21.725434303818773</v>
      </c>
      <c r="C18" s="25"/>
      <c r="D18" s="21">
        <v>8.4467471813770206E-2</v>
      </c>
      <c r="E18" s="21">
        <v>6.2384083628393192E-2</v>
      </c>
      <c r="W18" s="32"/>
      <c r="X18" s="32"/>
      <c r="Y18" s="32"/>
      <c r="Z18" s="32"/>
      <c r="AA18" s="32"/>
      <c r="AB18" s="32"/>
      <c r="AC18" s="32"/>
      <c r="AD18" s="32"/>
      <c r="AE18" s="32"/>
      <c r="AF18" s="32"/>
      <c r="AG18" s="32"/>
      <c r="AH18" s="32"/>
      <c r="AI18" s="32"/>
      <c r="AJ18" s="33"/>
      <c r="AK18" s="33"/>
      <c r="AL18" s="33"/>
    </row>
    <row r="19" spans="1:38" x14ac:dyDescent="0.35">
      <c r="A19" s="24">
        <v>16.469134899323983</v>
      </c>
      <c r="B19" s="24">
        <v>18.004594651312559</v>
      </c>
      <c r="C19" s="25"/>
      <c r="D19" s="21">
        <v>0.1266425323495885</v>
      </c>
      <c r="E19" s="21">
        <v>9.5194596023942882E-2</v>
      </c>
      <c r="W19" s="32"/>
      <c r="X19" s="32"/>
      <c r="Y19" s="32"/>
      <c r="Z19" s="32"/>
      <c r="AA19" s="32"/>
      <c r="AB19" s="32"/>
      <c r="AC19" s="32"/>
      <c r="AD19" s="32"/>
      <c r="AE19" s="32"/>
      <c r="AF19" s="32"/>
      <c r="AG19" s="32"/>
      <c r="AH19" s="32"/>
      <c r="AI19" s="32"/>
      <c r="AJ19" s="33"/>
      <c r="AK19" s="33"/>
      <c r="AL19" s="33"/>
    </row>
    <row r="20" spans="1:38" x14ac:dyDescent="0.35">
      <c r="A20" s="24">
        <v>13.494750622451386</v>
      </c>
      <c r="B20" s="24">
        <v>14.63583338823962</v>
      </c>
      <c r="C20" s="25"/>
      <c r="D20" s="21">
        <v>0.17525101491889006</v>
      </c>
      <c r="E20" s="21">
        <v>0.13593084439989978</v>
      </c>
      <c r="W20" s="32"/>
      <c r="X20" s="32"/>
      <c r="Y20" s="32"/>
      <c r="Z20" s="32"/>
      <c r="AA20" s="32"/>
      <c r="AB20" s="32"/>
      <c r="AC20" s="32"/>
      <c r="AD20" s="32"/>
      <c r="AE20" s="32"/>
      <c r="AF20" s="32"/>
      <c r="AG20" s="32"/>
      <c r="AH20" s="32"/>
      <c r="AI20" s="32"/>
      <c r="AJ20" s="33"/>
      <c r="AK20" s="33"/>
      <c r="AL20" s="33"/>
    </row>
    <row r="21" spans="1:38" x14ac:dyDescent="0.35">
      <c r="A21" s="24">
        <v>10.831026556365034</v>
      </c>
      <c r="B21" s="24">
        <v>11.54497928156135</v>
      </c>
      <c r="C21" s="25"/>
      <c r="D21" s="21">
        <v>0.24807609578892023</v>
      </c>
      <c r="E21" s="21">
        <v>0.20645022111962033</v>
      </c>
      <c r="W21" s="32"/>
      <c r="X21" s="32"/>
      <c r="Y21" s="32"/>
      <c r="Z21" s="32"/>
      <c r="AA21" s="32"/>
      <c r="AB21" s="32"/>
      <c r="AC21" s="32"/>
      <c r="AD21" s="32"/>
      <c r="AE21" s="32"/>
      <c r="AF21" s="32"/>
      <c r="AG21" s="32"/>
      <c r="AH21" s="32"/>
      <c r="AI21" s="32"/>
      <c r="AJ21" s="33"/>
      <c r="AK21" s="33"/>
      <c r="AL21" s="33"/>
    </row>
    <row r="22" spans="1:38" x14ac:dyDescent="0.35">
      <c r="A22" s="24">
        <v>8.5796139206479456</v>
      </c>
      <c r="B22" s="24">
        <v>8.8981246322353247</v>
      </c>
      <c r="C22" s="25"/>
      <c r="D22" s="21">
        <v>0.37262821001295438</v>
      </c>
      <c r="E22" s="21">
        <v>0.29498922413793105</v>
      </c>
      <c r="W22" s="32"/>
      <c r="X22" s="32"/>
      <c r="Y22" s="32"/>
      <c r="Z22" s="32"/>
      <c r="AA22" s="32"/>
      <c r="AB22" s="32"/>
      <c r="AC22" s="32"/>
      <c r="AD22" s="32"/>
      <c r="AE22" s="32"/>
      <c r="AF22" s="32"/>
      <c r="AG22" s="32"/>
      <c r="AH22" s="32"/>
      <c r="AI22" s="32"/>
      <c r="AJ22" s="33"/>
      <c r="AK22" s="33"/>
      <c r="AL22" s="33"/>
    </row>
    <row r="23" spans="1:38" x14ac:dyDescent="0.35">
      <c r="A23" s="24">
        <v>7.1906077348066297</v>
      </c>
      <c r="B23" s="24">
        <v>6.5752153744201456</v>
      </c>
      <c r="C23" s="25"/>
      <c r="D23" s="21">
        <v>1</v>
      </c>
      <c r="E23" s="21">
        <v>1</v>
      </c>
      <c r="W23" s="32"/>
      <c r="X23" s="32"/>
      <c r="Y23" s="32"/>
      <c r="Z23" s="32"/>
      <c r="AA23" s="32"/>
      <c r="AB23" s="32"/>
      <c r="AC23" s="32"/>
      <c r="AD23" s="32"/>
      <c r="AE23" s="32"/>
      <c r="AF23" s="32"/>
      <c r="AG23" s="32"/>
      <c r="AH23" s="32"/>
      <c r="AI23" s="32"/>
      <c r="AJ23" s="33"/>
      <c r="AK23" s="33"/>
      <c r="AL23" s="33"/>
    </row>
    <row r="24" spans="1:38" ht="15" customHeight="1" x14ac:dyDescent="0.35">
      <c r="W24" s="32"/>
      <c r="X24" s="32"/>
      <c r="Y24" s="32"/>
      <c r="Z24" s="32"/>
      <c r="AA24" s="32"/>
      <c r="AB24" s="32"/>
      <c r="AC24" s="32"/>
      <c r="AD24" s="32"/>
      <c r="AE24" s="32"/>
      <c r="AF24" s="32"/>
      <c r="AG24" s="32"/>
      <c r="AH24" s="32"/>
      <c r="AI24" s="32"/>
      <c r="AJ24" s="33"/>
      <c r="AK24" s="33"/>
      <c r="AL24" s="33"/>
    </row>
    <row r="25" spans="1:38" x14ac:dyDescent="0.35">
      <c r="W25" s="32"/>
      <c r="X25" s="32"/>
      <c r="Y25" s="32"/>
      <c r="Z25" s="32"/>
      <c r="AA25" s="32"/>
      <c r="AB25" s="32"/>
      <c r="AC25" s="32"/>
      <c r="AD25" s="32"/>
      <c r="AE25" s="32"/>
      <c r="AF25" s="32"/>
      <c r="AG25" s="32"/>
      <c r="AH25" s="32"/>
      <c r="AI25" s="32"/>
      <c r="AJ25" s="33"/>
      <c r="AK25" s="33"/>
      <c r="AL25" s="33"/>
    </row>
    <row r="26" spans="1:38" ht="14.5" customHeight="1" x14ac:dyDescent="0.35">
      <c r="W26" s="32"/>
      <c r="X26" s="32"/>
      <c r="Y26" s="32"/>
      <c r="Z26" s="32"/>
      <c r="AA26" s="32"/>
      <c r="AB26" s="32"/>
      <c r="AC26" s="32"/>
      <c r="AD26" s="32"/>
      <c r="AE26" s="32"/>
      <c r="AF26" s="32"/>
      <c r="AG26" s="32"/>
      <c r="AH26" s="32"/>
      <c r="AI26" s="32"/>
      <c r="AJ26" s="33"/>
      <c r="AK26" s="33"/>
      <c r="AL26" s="33"/>
    </row>
    <row r="27" spans="1:38" x14ac:dyDescent="0.35">
      <c r="W27" s="32"/>
      <c r="X27" s="32"/>
      <c r="Y27" s="32"/>
      <c r="Z27" s="32"/>
      <c r="AA27" s="32"/>
      <c r="AB27" s="32"/>
      <c r="AC27" s="32"/>
      <c r="AD27" s="32"/>
      <c r="AE27" s="32"/>
      <c r="AF27" s="32"/>
      <c r="AG27" s="32"/>
      <c r="AH27" s="32"/>
      <c r="AI27" s="32"/>
      <c r="AJ27" s="33"/>
      <c r="AK27" s="33"/>
      <c r="AL27" s="33"/>
    </row>
    <row r="28" spans="1:38" x14ac:dyDescent="0.35">
      <c r="W28" s="32"/>
      <c r="X28" s="32"/>
      <c r="Y28" s="32"/>
      <c r="Z28" s="32"/>
      <c r="AA28" s="32"/>
      <c r="AB28" s="32"/>
      <c r="AC28" s="32"/>
      <c r="AD28" s="32"/>
      <c r="AE28" s="32"/>
      <c r="AF28" s="32"/>
      <c r="AG28" s="32"/>
      <c r="AH28" s="32"/>
      <c r="AI28" s="32"/>
      <c r="AJ28" s="33"/>
      <c r="AK28" s="33"/>
      <c r="AL28" s="33"/>
    </row>
    <row r="29" spans="1:38" x14ac:dyDescent="0.35">
      <c r="W29" s="32"/>
      <c r="X29" s="32"/>
      <c r="Y29" s="32"/>
      <c r="Z29" s="32"/>
      <c r="AA29" s="32"/>
      <c r="AB29" s="32"/>
      <c r="AC29" s="32"/>
      <c r="AD29" s="32"/>
      <c r="AE29" s="32"/>
      <c r="AF29" s="32"/>
      <c r="AG29" s="32"/>
      <c r="AH29" s="32"/>
      <c r="AI29" s="32"/>
      <c r="AJ29" s="33"/>
      <c r="AK29" s="33"/>
      <c r="AL29" s="33"/>
    </row>
    <row r="30" spans="1:38" x14ac:dyDescent="0.35">
      <c r="W30" s="32"/>
      <c r="X30" s="32"/>
      <c r="Y30" s="32"/>
      <c r="Z30" s="32"/>
      <c r="AA30" s="32"/>
      <c r="AB30" s="32"/>
      <c r="AC30" s="32"/>
      <c r="AD30" s="32"/>
      <c r="AE30" s="32"/>
      <c r="AF30" s="32"/>
      <c r="AG30" s="32"/>
      <c r="AH30" s="32"/>
      <c r="AI30" s="32"/>
      <c r="AJ30" s="33"/>
      <c r="AK30" s="33"/>
      <c r="AL30" s="33"/>
    </row>
    <row r="31" spans="1:38" x14ac:dyDescent="0.35">
      <c r="W31" s="32"/>
      <c r="X31" s="32"/>
      <c r="Y31" s="32"/>
      <c r="Z31" s="32"/>
      <c r="AA31" s="32"/>
      <c r="AB31" s="32"/>
      <c r="AC31" s="32"/>
      <c r="AD31" s="32"/>
      <c r="AE31" s="32"/>
      <c r="AF31" s="32"/>
      <c r="AG31" s="32"/>
      <c r="AH31" s="32"/>
      <c r="AI31" s="32"/>
      <c r="AJ31" s="33"/>
      <c r="AK31" s="33"/>
      <c r="AL31" s="33"/>
    </row>
    <row r="32" spans="1:38" x14ac:dyDescent="0.35">
      <c r="W32" s="32"/>
      <c r="X32" s="32"/>
      <c r="Y32" s="32"/>
      <c r="Z32" s="32"/>
      <c r="AA32" s="32"/>
      <c r="AB32" s="32"/>
      <c r="AC32" s="32"/>
      <c r="AD32" s="32"/>
      <c r="AE32" s="32"/>
      <c r="AF32" s="32"/>
      <c r="AG32" s="32"/>
      <c r="AH32" s="32"/>
      <c r="AI32" s="32"/>
      <c r="AJ32" s="33"/>
      <c r="AK32" s="33"/>
      <c r="AL32" s="33"/>
    </row>
    <row r="33" spans="23:38" x14ac:dyDescent="0.35">
      <c r="W33" s="32"/>
      <c r="X33" s="32"/>
      <c r="Y33" s="32"/>
      <c r="Z33" s="32"/>
      <c r="AA33" s="32"/>
      <c r="AB33" s="32"/>
      <c r="AC33" s="32"/>
      <c r="AD33" s="32"/>
      <c r="AE33" s="32"/>
      <c r="AF33" s="32"/>
      <c r="AG33" s="32"/>
      <c r="AH33" s="32"/>
      <c r="AI33" s="32"/>
      <c r="AJ33" s="33"/>
      <c r="AK33" s="33"/>
      <c r="AL33" s="33"/>
    </row>
    <row r="34" spans="23:38" x14ac:dyDescent="0.35">
      <c r="W34" s="32"/>
      <c r="X34" s="32"/>
      <c r="Y34" s="32"/>
      <c r="Z34" s="32"/>
      <c r="AA34" s="32"/>
      <c r="AB34" s="32"/>
      <c r="AC34" s="32"/>
      <c r="AD34" s="32"/>
      <c r="AE34" s="32"/>
      <c r="AF34" s="32"/>
      <c r="AG34" s="32"/>
      <c r="AH34" s="32"/>
      <c r="AI34" s="32"/>
      <c r="AJ34" s="33"/>
      <c r="AK34" s="33"/>
      <c r="AL34" s="33"/>
    </row>
    <row r="35" spans="23:38" x14ac:dyDescent="0.35">
      <c r="W35" s="32"/>
      <c r="X35" s="32"/>
      <c r="Y35" s="32"/>
      <c r="Z35" s="32"/>
      <c r="AA35" s="32"/>
      <c r="AB35" s="32"/>
      <c r="AC35" s="32"/>
      <c r="AD35" s="32"/>
      <c r="AE35" s="32"/>
      <c r="AF35" s="32"/>
      <c r="AG35" s="32"/>
      <c r="AH35" s="32"/>
      <c r="AI35" s="32"/>
      <c r="AJ35" s="33"/>
      <c r="AK35" s="33"/>
      <c r="AL35" s="33"/>
    </row>
    <row r="36" spans="23:38" x14ac:dyDescent="0.35">
      <c r="W36" s="32"/>
      <c r="X36" s="32"/>
      <c r="Y36" s="32"/>
      <c r="Z36" s="32"/>
      <c r="AA36" s="32"/>
      <c r="AB36" s="32"/>
      <c r="AC36" s="32"/>
      <c r="AD36" s="32"/>
      <c r="AE36" s="32"/>
      <c r="AF36" s="32"/>
      <c r="AG36" s="32"/>
      <c r="AH36" s="32"/>
      <c r="AI36" s="32"/>
      <c r="AJ36" s="33"/>
      <c r="AK36" s="33"/>
      <c r="AL36" s="33"/>
    </row>
    <row r="37" spans="23:38" x14ac:dyDescent="0.35">
      <c r="W37" s="32"/>
      <c r="X37" s="32"/>
      <c r="Y37" s="32"/>
      <c r="Z37" s="32"/>
      <c r="AA37" s="32"/>
      <c r="AB37" s="32"/>
      <c r="AC37" s="32"/>
      <c r="AD37" s="32"/>
      <c r="AE37" s="32"/>
      <c r="AF37" s="32"/>
      <c r="AG37" s="32"/>
      <c r="AH37" s="32"/>
      <c r="AI37" s="32"/>
      <c r="AJ37" s="33"/>
      <c r="AK37" s="33"/>
      <c r="AL37" s="33"/>
    </row>
    <row r="38" spans="23:38" x14ac:dyDescent="0.35">
      <c r="W38" s="32"/>
      <c r="X38" s="32"/>
      <c r="Y38" s="32"/>
      <c r="Z38" s="32"/>
      <c r="AA38" s="32"/>
      <c r="AB38" s="32"/>
      <c r="AC38" s="32"/>
      <c r="AD38" s="32"/>
      <c r="AE38" s="32"/>
      <c r="AF38" s="32"/>
      <c r="AG38" s="32"/>
      <c r="AH38" s="32"/>
      <c r="AI38" s="32"/>
      <c r="AJ38" s="33"/>
      <c r="AK38" s="33"/>
      <c r="AL38" s="33"/>
    </row>
    <row r="39" spans="23:38" x14ac:dyDescent="0.35">
      <c r="W39" s="33"/>
      <c r="X39" s="33"/>
      <c r="Y39" s="33"/>
      <c r="Z39" s="33"/>
      <c r="AA39" s="33"/>
      <c r="AB39" s="33"/>
      <c r="AC39" s="33"/>
      <c r="AD39" s="33"/>
      <c r="AE39" s="33"/>
      <c r="AF39" s="33"/>
      <c r="AG39" s="33"/>
      <c r="AH39" s="33"/>
      <c r="AI39" s="33"/>
      <c r="AJ39" s="33"/>
      <c r="AK39" s="33"/>
      <c r="AL39" s="33"/>
    </row>
    <row r="40" spans="23:38" x14ac:dyDescent="0.35">
      <c r="W40" s="33"/>
      <c r="X40" s="33"/>
      <c r="Y40" s="33"/>
      <c r="Z40" s="33"/>
      <c r="AA40" s="33"/>
      <c r="AB40" s="33"/>
      <c r="AC40" s="33"/>
      <c r="AD40" s="33"/>
      <c r="AE40" s="33"/>
      <c r="AF40" s="33"/>
      <c r="AG40" s="33"/>
      <c r="AH40" s="33"/>
      <c r="AI40" s="33"/>
      <c r="AJ40" s="33"/>
      <c r="AK40" s="33"/>
      <c r="AL40" s="33"/>
    </row>
    <row r="43" spans="23:38" ht="17.5" x14ac:dyDescent="0.35">
      <c r="W43" s="31"/>
    </row>
  </sheetData>
  <mergeCells count="4">
    <mergeCell ref="A3:B3"/>
    <mergeCell ref="A1:E2"/>
    <mergeCell ref="D3:E3"/>
    <mergeCell ref="W3:AI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T.MORTALIDAD-F</vt:lpstr>
      <vt:lpstr>T.MORTALIDAD-M</vt:lpstr>
      <vt:lpstr>COMPARACIÓN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Regina Martínez</dc:creator>
  <cp:lastModifiedBy>Regina Martínez</cp:lastModifiedBy>
  <dcterms:created xsi:type="dcterms:W3CDTF">2026-06-05T00:09:15Z</dcterms:created>
  <dcterms:modified xsi:type="dcterms:W3CDTF">2026-06-05T00:40:23Z</dcterms:modified>
</cp:coreProperties>
</file>