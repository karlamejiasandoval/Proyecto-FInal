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gin\OneDrive\Desktop\"/>
    </mc:Choice>
  </mc:AlternateContent>
  <xr:revisionPtr revIDLastSave="0" documentId="13_ncr:1_{9071C62C-94E7-4EEC-8D7C-804C9EE972E8}" xr6:coauthVersionLast="47" xr6:coauthVersionMax="47" xr10:uidLastSave="{00000000-0000-0000-0000-000000000000}"/>
  <bookViews>
    <workbookView xWindow="-110" yWindow="-110" windowWidth="19420" windowHeight="12220" firstSheet="1" activeTab="4" xr2:uid="{13B964E0-258B-46F8-83F8-4AB65FB1A553}"/>
  </bookViews>
  <sheets>
    <sheet name="COAHUILA2010" sheetId="1" r:id="rId1"/>
    <sheet name="COAHUILA2019" sheetId="8" r:id="rId2"/>
    <sheet name="T.MORTALIDAD-F" sheetId="6" r:id="rId3"/>
    <sheet name="Cuadros a, b, c" sheetId="3" r:id="rId4"/>
    <sheet name="TGF, TBR y TNR"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 i="4" l="1"/>
  <c r="I30" i="4"/>
  <c r="I13" i="4"/>
  <c r="I21" i="4"/>
  <c r="I4" i="4"/>
  <c r="H22" i="4"/>
  <c r="H23" i="4"/>
  <c r="H24" i="4"/>
  <c r="H25" i="4"/>
  <c r="H26" i="4"/>
  <c r="H27" i="4"/>
  <c r="H21" i="4"/>
  <c r="H4" i="4"/>
  <c r="G4" i="4"/>
  <c r="J1" i="4"/>
  <c r="L4" i="4"/>
  <c r="L30" i="4"/>
  <c r="G29" i="4"/>
  <c r="G28" i="4"/>
  <c r="L27" i="4"/>
  <c r="K27" i="4"/>
  <c r="J27" i="4"/>
  <c r="I27" i="4"/>
  <c r="G27" i="4"/>
  <c r="F27" i="4"/>
  <c r="E27" i="4"/>
  <c r="K26" i="4"/>
  <c r="J26" i="4"/>
  <c r="I26" i="4"/>
  <c r="L26" i="4" s="1"/>
  <c r="G26" i="4"/>
  <c r="F26" i="4"/>
  <c r="E26" i="4"/>
  <c r="K25" i="4"/>
  <c r="J25" i="4"/>
  <c r="I25" i="4"/>
  <c r="L25" i="4" s="1"/>
  <c r="G25" i="4"/>
  <c r="F25" i="4"/>
  <c r="E25" i="4"/>
  <c r="L24" i="4"/>
  <c r="K24" i="4"/>
  <c r="J24" i="4"/>
  <c r="I24" i="4"/>
  <c r="G24" i="4"/>
  <c r="F24" i="4"/>
  <c r="E24" i="4"/>
  <c r="K23" i="4"/>
  <c r="J23" i="4"/>
  <c r="I23" i="4"/>
  <c r="L23" i="4" s="1"/>
  <c r="G23" i="4"/>
  <c r="F23" i="4"/>
  <c r="E23" i="4"/>
  <c r="K22" i="4"/>
  <c r="J22" i="4"/>
  <c r="I22" i="4"/>
  <c r="L22" i="4" s="1"/>
  <c r="G22" i="4"/>
  <c r="F22" i="4"/>
  <c r="E22" i="4"/>
  <c r="L21" i="4"/>
  <c r="K21" i="4"/>
  <c r="J21" i="4"/>
  <c r="G21" i="4"/>
  <c r="F21" i="4"/>
  <c r="E21" i="4"/>
  <c r="L13" i="4"/>
  <c r="G12" i="4"/>
  <c r="G11" i="4"/>
  <c r="L10" i="4"/>
  <c r="K10" i="4"/>
  <c r="J10" i="4"/>
  <c r="I10" i="4"/>
  <c r="H10" i="4"/>
  <c r="G10" i="4"/>
  <c r="F10" i="4"/>
  <c r="E10" i="4"/>
  <c r="K9" i="4"/>
  <c r="J9" i="4"/>
  <c r="I9" i="4"/>
  <c r="L9" i="4" s="1"/>
  <c r="H9" i="4"/>
  <c r="G9" i="4"/>
  <c r="F9" i="4"/>
  <c r="E9" i="4"/>
  <c r="K8" i="4"/>
  <c r="J8" i="4"/>
  <c r="I8" i="4"/>
  <c r="L8" i="4" s="1"/>
  <c r="H8" i="4"/>
  <c r="G8" i="4"/>
  <c r="F8" i="4"/>
  <c r="E8" i="4"/>
  <c r="L7" i="4"/>
  <c r="K7" i="4"/>
  <c r="J7" i="4"/>
  <c r="I7" i="4"/>
  <c r="H7" i="4"/>
  <c r="G7" i="4"/>
  <c r="F7" i="4"/>
  <c r="E7" i="4"/>
  <c r="K6" i="4"/>
  <c r="J6" i="4"/>
  <c r="I6" i="4"/>
  <c r="L6" i="4" s="1"/>
  <c r="H6" i="4"/>
  <c r="G6" i="4"/>
  <c r="F6" i="4"/>
  <c r="E6" i="4"/>
  <c r="K5" i="4"/>
  <c r="J5" i="4"/>
  <c r="I5" i="4"/>
  <c r="L5" i="4" s="1"/>
  <c r="H5" i="4"/>
  <c r="G5" i="4"/>
  <c r="F5" i="4"/>
  <c r="E5" i="4"/>
  <c r="J4" i="4"/>
  <c r="F4" i="4"/>
  <c r="E4" i="4"/>
  <c r="D32" i="3"/>
  <c r="C32" i="3"/>
  <c r="B32" i="3"/>
  <c r="D27" i="3"/>
  <c r="C27" i="3"/>
  <c r="B27" i="3"/>
  <c r="D22" i="3"/>
  <c r="C22" i="3"/>
  <c r="B22" i="3"/>
  <c r="H15" i="3"/>
  <c r="D15" i="3"/>
  <c r="C15" i="3"/>
  <c r="B15" i="3"/>
  <c r="D10" i="3"/>
  <c r="C10" i="3"/>
  <c r="B10" i="3"/>
  <c r="D5" i="3"/>
  <c r="C5" i="3"/>
  <c r="B5" i="3"/>
  <c r="M49" i="6"/>
  <c r="L49" i="6"/>
  <c r="K49" i="6"/>
  <c r="J49" i="6"/>
  <c r="I49" i="6"/>
  <c r="H49" i="6"/>
  <c r="E49" i="6"/>
  <c r="M48" i="6"/>
  <c r="L48" i="6"/>
  <c r="K48" i="6"/>
  <c r="J48" i="6"/>
  <c r="I48" i="6"/>
  <c r="H48" i="6"/>
  <c r="G48" i="6"/>
  <c r="E48" i="6"/>
  <c r="M47" i="6"/>
  <c r="L47" i="6"/>
  <c r="K47" i="6"/>
  <c r="J47" i="6"/>
  <c r="I47" i="6"/>
  <c r="H47" i="6"/>
  <c r="G47" i="6"/>
  <c r="E47" i="6"/>
  <c r="M46" i="6"/>
  <c r="L46" i="6"/>
  <c r="K46" i="6"/>
  <c r="J46" i="6"/>
  <c r="I46" i="6"/>
  <c r="H46" i="6"/>
  <c r="G46" i="6"/>
  <c r="E46" i="6"/>
  <c r="M45" i="6"/>
  <c r="L45" i="6"/>
  <c r="K45" i="6"/>
  <c r="J45" i="6"/>
  <c r="I45" i="6"/>
  <c r="H45" i="6"/>
  <c r="G45" i="6"/>
  <c r="E45" i="6"/>
  <c r="M44" i="6"/>
  <c r="L44" i="6"/>
  <c r="K44" i="6"/>
  <c r="J44" i="6"/>
  <c r="I44" i="6"/>
  <c r="H44" i="6"/>
  <c r="G44" i="6"/>
  <c r="E44" i="6"/>
  <c r="M43" i="6"/>
  <c r="L43" i="6"/>
  <c r="K43" i="6"/>
  <c r="J43" i="6"/>
  <c r="I43" i="6"/>
  <c r="H43" i="6"/>
  <c r="G43" i="6"/>
  <c r="E43" i="6"/>
  <c r="M42" i="6"/>
  <c r="L42" i="6"/>
  <c r="K42" i="6"/>
  <c r="J42" i="6"/>
  <c r="I42" i="6"/>
  <c r="H42" i="6"/>
  <c r="G42" i="6"/>
  <c r="E42" i="6"/>
  <c r="M41" i="6"/>
  <c r="L41" i="6"/>
  <c r="K41" i="6"/>
  <c r="J41" i="6"/>
  <c r="I41" i="6"/>
  <c r="H41" i="6"/>
  <c r="G41" i="6"/>
  <c r="E41" i="6"/>
  <c r="M40" i="6"/>
  <c r="L40" i="6"/>
  <c r="K40" i="6"/>
  <c r="J40" i="6"/>
  <c r="I40" i="6"/>
  <c r="H40" i="6"/>
  <c r="G40" i="6"/>
  <c r="E40" i="6"/>
  <c r="M39" i="6"/>
  <c r="L39" i="6"/>
  <c r="K39" i="6"/>
  <c r="J39" i="6"/>
  <c r="I39" i="6"/>
  <c r="H39" i="6"/>
  <c r="G39" i="6"/>
  <c r="E39" i="6"/>
  <c r="M38" i="6"/>
  <c r="L38" i="6"/>
  <c r="K38" i="6"/>
  <c r="J38" i="6"/>
  <c r="I38" i="6"/>
  <c r="H38" i="6"/>
  <c r="G38" i="6"/>
  <c r="E38" i="6"/>
  <c r="M37" i="6"/>
  <c r="L37" i="6"/>
  <c r="K37" i="6"/>
  <c r="J37" i="6"/>
  <c r="I37" i="6"/>
  <c r="H37" i="6"/>
  <c r="G37" i="6"/>
  <c r="E37" i="6"/>
  <c r="M36" i="6"/>
  <c r="L36" i="6"/>
  <c r="K36" i="6"/>
  <c r="J36" i="6"/>
  <c r="I36" i="6"/>
  <c r="H36" i="6"/>
  <c r="G36" i="6"/>
  <c r="E36" i="6"/>
  <c r="M35" i="6"/>
  <c r="L35" i="6"/>
  <c r="K35" i="6"/>
  <c r="J35" i="6"/>
  <c r="I35" i="6"/>
  <c r="H35" i="6"/>
  <c r="G35" i="6"/>
  <c r="E35" i="6"/>
  <c r="M34" i="6"/>
  <c r="L34" i="6"/>
  <c r="K34" i="6"/>
  <c r="J34" i="6"/>
  <c r="I34" i="6"/>
  <c r="H34" i="6"/>
  <c r="G34" i="6"/>
  <c r="E34" i="6"/>
  <c r="M33" i="6"/>
  <c r="L33" i="6"/>
  <c r="K33" i="6"/>
  <c r="J33" i="6"/>
  <c r="I33" i="6"/>
  <c r="H33" i="6"/>
  <c r="G33" i="6"/>
  <c r="E33" i="6"/>
  <c r="M32" i="6"/>
  <c r="L32" i="6"/>
  <c r="K32" i="6"/>
  <c r="J32" i="6"/>
  <c r="I32" i="6"/>
  <c r="H32" i="6"/>
  <c r="G32" i="6"/>
  <c r="F32" i="6"/>
  <c r="E32" i="6"/>
  <c r="M31" i="6"/>
  <c r="L31" i="6"/>
  <c r="K31" i="6"/>
  <c r="J31" i="6"/>
  <c r="I31" i="6"/>
  <c r="H31" i="6"/>
  <c r="G31" i="6"/>
  <c r="F31" i="6"/>
  <c r="E31" i="6"/>
  <c r="M22" i="6"/>
  <c r="L22" i="6"/>
  <c r="K22" i="6"/>
  <c r="J22" i="6"/>
  <c r="I22" i="6"/>
  <c r="H22" i="6"/>
  <c r="E22" i="6"/>
  <c r="M21" i="6"/>
  <c r="L21" i="6"/>
  <c r="K21" i="6"/>
  <c r="J21" i="6"/>
  <c r="I21" i="6"/>
  <c r="H21" i="6"/>
  <c r="G21" i="6"/>
  <c r="E21" i="6"/>
  <c r="M20" i="6"/>
  <c r="L20" i="6"/>
  <c r="K20" i="6"/>
  <c r="J20" i="6"/>
  <c r="I20" i="6"/>
  <c r="H20" i="6"/>
  <c r="G20" i="6"/>
  <c r="E20" i="6"/>
  <c r="M19" i="6"/>
  <c r="L19" i="6"/>
  <c r="K19" i="6"/>
  <c r="J19" i="6"/>
  <c r="I19" i="6"/>
  <c r="H19" i="6"/>
  <c r="G19" i="6"/>
  <c r="E19" i="6"/>
  <c r="M18" i="6"/>
  <c r="L18" i="6"/>
  <c r="K18" i="6"/>
  <c r="J18" i="6"/>
  <c r="I18" i="6"/>
  <c r="H18" i="6"/>
  <c r="G18" i="6"/>
  <c r="E18" i="6"/>
  <c r="M17" i="6"/>
  <c r="L17" i="6"/>
  <c r="K17" i="6"/>
  <c r="J17" i="6"/>
  <c r="I17" i="6"/>
  <c r="H17" i="6"/>
  <c r="G17" i="6"/>
  <c r="E17" i="6"/>
  <c r="M16" i="6"/>
  <c r="L16" i="6"/>
  <c r="K16" i="6"/>
  <c r="J16" i="6"/>
  <c r="I16" i="6"/>
  <c r="H16" i="6"/>
  <c r="G16" i="6"/>
  <c r="E16" i="6"/>
  <c r="M15" i="6"/>
  <c r="L15" i="6"/>
  <c r="K15" i="6"/>
  <c r="J15" i="6"/>
  <c r="I15" i="6"/>
  <c r="H15" i="6"/>
  <c r="G15" i="6"/>
  <c r="E15" i="6"/>
  <c r="M14" i="6"/>
  <c r="L14" i="6"/>
  <c r="K14" i="6"/>
  <c r="J14" i="6"/>
  <c r="I14" i="6"/>
  <c r="H14" i="6"/>
  <c r="G14" i="6"/>
  <c r="E14" i="6"/>
  <c r="M13" i="6"/>
  <c r="L13" i="6"/>
  <c r="K13" i="6"/>
  <c r="J13" i="6"/>
  <c r="I13" i="6"/>
  <c r="H13" i="6"/>
  <c r="G13" i="6"/>
  <c r="E13" i="6"/>
  <c r="M12" i="6"/>
  <c r="L12" i="6"/>
  <c r="K12" i="6"/>
  <c r="J12" i="6"/>
  <c r="I12" i="6"/>
  <c r="H12" i="6"/>
  <c r="G12" i="6"/>
  <c r="E12" i="6"/>
  <c r="M11" i="6"/>
  <c r="L11" i="6"/>
  <c r="K11" i="6"/>
  <c r="J11" i="6"/>
  <c r="I11" i="6"/>
  <c r="H11" i="6"/>
  <c r="G11" i="6"/>
  <c r="E11" i="6"/>
  <c r="M10" i="6"/>
  <c r="L10" i="6"/>
  <c r="K10" i="6"/>
  <c r="J10" i="6"/>
  <c r="I10" i="6"/>
  <c r="H10" i="6"/>
  <c r="G10" i="6"/>
  <c r="E10" i="6"/>
  <c r="M9" i="6"/>
  <c r="L9" i="6"/>
  <c r="K9" i="6"/>
  <c r="J9" i="6"/>
  <c r="I9" i="6"/>
  <c r="H9" i="6"/>
  <c r="G9" i="6"/>
  <c r="E9" i="6"/>
  <c r="M8" i="6"/>
  <c r="L8" i="6"/>
  <c r="K8" i="6"/>
  <c r="J8" i="6"/>
  <c r="I8" i="6"/>
  <c r="H8" i="6"/>
  <c r="G8" i="6"/>
  <c r="E8" i="6"/>
  <c r="M7" i="6"/>
  <c r="L7" i="6"/>
  <c r="K7" i="6"/>
  <c r="J7" i="6"/>
  <c r="I7" i="6"/>
  <c r="H7" i="6"/>
  <c r="G7" i="6"/>
  <c r="E7" i="6"/>
  <c r="M6" i="6"/>
  <c r="L6" i="6"/>
  <c r="K6" i="6"/>
  <c r="J6" i="6"/>
  <c r="I6" i="6"/>
  <c r="H6" i="6"/>
  <c r="G6" i="6"/>
  <c r="E6" i="6"/>
  <c r="M5" i="6"/>
  <c r="L5" i="6"/>
  <c r="K5" i="6"/>
  <c r="J5" i="6"/>
  <c r="I5" i="6"/>
  <c r="H5" i="6"/>
  <c r="G5" i="6"/>
  <c r="F5" i="6"/>
  <c r="E5" i="6"/>
  <c r="M4" i="6"/>
  <c r="L4" i="6"/>
  <c r="K4" i="6"/>
  <c r="J4" i="6"/>
  <c r="I4" i="6"/>
  <c r="H4" i="6"/>
  <c r="G4" i="6"/>
  <c r="F4" i="6"/>
  <c r="E4" i="6"/>
  <c r="M56" i="8"/>
  <c r="N55" i="8"/>
  <c r="M55" i="8"/>
  <c r="S54" i="8"/>
  <c r="R54" i="8"/>
  <c r="Q54" i="8"/>
  <c r="O54" i="8"/>
  <c r="N54" i="8"/>
  <c r="M54" i="8"/>
  <c r="L54" i="8"/>
  <c r="M50" i="8"/>
  <c r="N49" i="8"/>
  <c r="M49" i="8"/>
  <c r="S48" i="8"/>
  <c r="R48" i="8"/>
  <c r="Q48" i="8"/>
  <c r="O48" i="8"/>
  <c r="N48" i="8"/>
  <c r="M48" i="8"/>
  <c r="L48" i="8"/>
  <c r="M44" i="8"/>
  <c r="N43" i="8"/>
  <c r="M43" i="8"/>
  <c r="S42" i="8"/>
  <c r="R42" i="8"/>
  <c r="Q42" i="8"/>
  <c r="O42" i="8"/>
  <c r="N42" i="8"/>
  <c r="M42" i="8"/>
  <c r="L42" i="8"/>
  <c r="M38" i="8"/>
  <c r="N37" i="8"/>
  <c r="M37" i="8"/>
  <c r="S36" i="8"/>
  <c r="R36" i="8"/>
  <c r="Q36" i="8"/>
  <c r="O36" i="8"/>
  <c r="N36" i="8"/>
  <c r="M36" i="8"/>
  <c r="L36" i="8"/>
  <c r="B36" i="8"/>
  <c r="C35" i="8"/>
  <c r="B35" i="8"/>
  <c r="H34" i="8"/>
  <c r="G34" i="8"/>
  <c r="F34" i="8"/>
  <c r="D34" i="8"/>
  <c r="C34" i="8"/>
  <c r="B34" i="8"/>
  <c r="M32" i="8"/>
  <c r="N31" i="8"/>
  <c r="M31" i="8"/>
  <c r="S30" i="8"/>
  <c r="R30" i="8"/>
  <c r="Q30" i="8"/>
  <c r="O30" i="8"/>
  <c r="N30" i="8"/>
  <c r="M30" i="8"/>
  <c r="L30" i="8"/>
  <c r="M26" i="8"/>
  <c r="N25" i="8"/>
  <c r="M25" i="8"/>
  <c r="I25" i="8"/>
  <c r="H25" i="8"/>
  <c r="G25" i="8"/>
  <c r="D25" i="8"/>
  <c r="C25" i="8"/>
  <c r="B25" i="8"/>
  <c r="S24" i="8"/>
  <c r="R24" i="8"/>
  <c r="Q24" i="8"/>
  <c r="O24" i="8"/>
  <c r="N24" i="8"/>
  <c r="M24" i="8"/>
  <c r="L24" i="8"/>
  <c r="D24" i="8"/>
  <c r="D23" i="8"/>
  <c r="D22" i="8"/>
  <c r="D21" i="8"/>
  <c r="M20" i="8"/>
  <c r="D20" i="8"/>
  <c r="N19" i="8"/>
  <c r="M19" i="8"/>
  <c r="D19" i="8"/>
  <c r="S18" i="8"/>
  <c r="R18" i="8"/>
  <c r="Q18" i="8"/>
  <c r="O18" i="8"/>
  <c r="N18" i="8"/>
  <c r="M18" i="8"/>
  <c r="D18" i="8"/>
  <c r="D17" i="8"/>
  <c r="D16" i="8"/>
  <c r="D15" i="8"/>
  <c r="D14" i="8"/>
  <c r="D13" i="8"/>
  <c r="O12" i="8"/>
  <c r="N12" i="8"/>
  <c r="D12" i="8"/>
  <c r="O11" i="8"/>
  <c r="D11" i="8"/>
  <c r="R10" i="8"/>
  <c r="O10" i="8"/>
  <c r="D10" i="8"/>
  <c r="O9" i="8"/>
  <c r="D9" i="8"/>
  <c r="O8" i="8"/>
  <c r="D8" i="8"/>
  <c r="S7" i="8"/>
  <c r="O7" i="8"/>
  <c r="D7" i="8"/>
  <c r="O6" i="8"/>
  <c r="O5" i="8"/>
  <c r="M56" i="1"/>
  <c r="N55" i="1"/>
  <c r="M55" i="1"/>
  <c r="L55" i="1"/>
  <c r="S54" i="1"/>
  <c r="R54" i="1"/>
  <c r="Q54" i="1"/>
  <c r="O54" i="1"/>
  <c r="N54" i="1"/>
  <c r="M54" i="1"/>
  <c r="L54" i="1"/>
  <c r="M50" i="1"/>
  <c r="N49" i="1"/>
  <c r="M49" i="1"/>
  <c r="L49" i="1"/>
  <c r="S48" i="1"/>
  <c r="R48" i="1"/>
  <c r="Q48" i="1"/>
  <c r="O48" i="1"/>
  <c r="N48" i="1"/>
  <c r="M48" i="1"/>
  <c r="L48" i="1"/>
  <c r="M44" i="1"/>
  <c r="N43" i="1"/>
  <c r="M43" i="1"/>
  <c r="L43" i="1"/>
  <c r="S42" i="1"/>
  <c r="R42" i="1"/>
  <c r="Q42" i="1"/>
  <c r="O42" i="1"/>
  <c r="N42" i="1"/>
  <c r="M42" i="1"/>
  <c r="L42" i="1"/>
  <c r="M38" i="1"/>
  <c r="N37" i="1"/>
  <c r="M37" i="1"/>
  <c r="L37" i="1"/>
  <c r="S36" i="1"/>
  <c r="R36" i="1"/>
  <c r="Q36" i="1"/>
  <c r="O36" i="1"/>
  <c r="N36" i="1"/>
  <c r="M36" i="1"/>
  <c r="L36" i="1"/>
  <c r="B36" i="1"/>
  <c r="C35" i="1"/>
  <c r="B35" i="1"/>
  <c r="H34" i="1"/>
  <c r="G34" i="1"/>
  <c r="F34" i="1"/>
  <c r="D34" i="1"/>
  <c r="C34" i="1"/>
  <c r="B34" i="1"/>
  <c r="M32" i="1"/>
  <c r="N31" i="1"/>
  <c r="M31" i="1"/>
  <c r="L31" i="1"/>
  <c r="S30" i="1"/>
  <c r="R30" i="1"/>
  <c r="Q30" i="1"/>
  <c r="O30" i="1"/>
  <c r="N30" i="1"/>
  <c r="M30" i="1"/>
  <c r="L30" i="1"/>
  <c r="M26" i="1"/>
  <c r="N25" i="1"/>
  <c r="M25" i="1"/>
  <c r="L25" i="1"/>
  <c r="I25" i="1"/>
  <c r="H25" i="1"/>
  <c r="G25" i="1"/>
  <c r="S24" i="1"/>
  <c r="R24" i="1"/>
  <c r="Q24" i="1"/>
  <c r="O24" i="1"/>
  <c r="N24" i="1"/>
  <c r="M24" i="1"/>
  <c r="L24" i="1"/>
  <c r="I24" i="1"/>
  <c r="I23" i="1"/>
  <c r="D23" i="1"/>
  <c r="I22" i="1"/>
  <c r="D22" i="1"/>
  <c r="I21" i="1"/>
  <c r="D21" i="1"/>
  <c r="M20" i="1"/>
  <c r="I20" i="1"/>
  <c r="D20" i="1"/>
  <c r="N19" i="1"/>
  <c r="M19" i="1"/>
  <c r="I19" i="1"/>
  <c r="D19" i="1"/>
  <c r="S18" i="1"/>
  <c r="R18" i="1"/>
  <c r="Q18" i="1"/>
  <c r="O18" i="1"/>
  <c r="N18" i="1"/>
  <c r="M18" i="1"/>
  <c r="I18" i="1"/>
  <c r="D18" i="1"/>
  <c r="I17" i="1"/>
  <c r="D17" i="1"/>
  <c r="I16" i="1"/>
  <c r="D16" i="1"/>
  <c r="I15" i="1"/>
  <c r="D15" i="1"/>
  <c r="I14" i="1"/>
  <c r="D14" i="1"/>
  <c r="I13" i="1"/>
  <c r="D13" i="1"/>
  <c r="O12" i="1"/>
  <c r="N12" i="1"/>
  <c r="I12" i="1"/>
  <c r="D12" i="1"/>
  <c r="O11" i="1"/>
  <c r="I11" i="1"/>
  <c r="D11" i="1"/>
  <c r="R10" i="1"/>
  <c r="O10" i="1"/>
  <c r="I10" i="1"/>
  <c r="D10" i="1"/>
  <c r="O9" i="1"/>
  <c r="I9" i="1"/>
  <c r="D9" i="1"/>
  <c r="O8" i="1"/>
  <c r="I8" i="1"/>
  <c r="D8" i="1"/>
  <c r="O7" i="1"/>
  <c r="I7" i="1"/>
  <c r="D7" i="1"/>
  <c r="O6" i="1"/>
  <c r="O5" i="1"/>
  <c r="L28" i="4" l="1"/>
  <c r="L31" i="4" s="1"/>
  <c r="L11" i="4"/>
  <c r="L14" i="4" s="1"/>
</calcChain>
</file>

<file path=xl/sharedStrings.xml><?xml version="1.0" encoding="utf-8"?>
<sst xmlns="http://schemas.openxmlformats.org/spreadsheetml/2006/main" count="419" uniqueCount="96">
  <si>
    <t>Población total</t>
  </si>
  <si>
    <t>Entidad y municipio : Coahuila de Zaragoza</t>
  </si>
  <si>
    <t/>
  </si>
  <si>
    <t>Consulta de: Población total con estimación   Por: Edad   Según: Sexo</t>
  </si>
  <si>
    <t>Hombre</t>
  </si>
  <si>
    <t>Mujer</t>
  </si>
  <si>
    <t>85 y más años</t>
  </si>
  <si>
    <t>FUENTE: INEGI. Censo de Población y Vivienda 2010.</t>
  </si>
  <si>
    <t>Total</t>
  </si>
  <si>
    <t>0-4</t>
  </si>
  <si>
    <t>5-9</t>
  </si>
  <si>
    <t>10-14</t>
  </si>
  <si>
    <t>15-19</t>
  </si>
  <si>
    <t>20-24</t>
  </si>
  <si>
    <t>25-29</t>
  </si>
  <si>
    <t>30-34</t>
  </si>
  <si>
    <t>35-39</t>
  </si>
  <si>
    <t>40-44</t>
  </si>
  <si>
    <t>45-49</t>
  </si>
  <si>
    <t>50-54</t>
  </si>
  <si>
    <t>55-59</t>
  </si>
  <si>
    <t>60-64</t>
  </si>
  <si>
    <t>65-69</t>
  </si>
  <si>
    <t>70-74</t>
  </si>
  <si>
    <t>75-79</t>
  </si>
  <si>
    <t>80-84</t>
  </si>
  <si>
    <t>Edad</t>
  </si>
  <si>
    <t>75 y más años</t>
  </si>
  <si>
    <t>Coahuila 2000</t>
  </si>
  <si>
    <t>Coahuila 2010</t>
  </si>
  <si>
    <t>Coahuila 2020</t>
  </si>
  <si>
    <t>Tasas de crecimiento exponencial para el Total de la Población</t>
  </si>
  <si>
    <t>Fechas</t>
  </si>
  <si>
    <t>N</t>
  </si>
  <si>
    <t>r</t>
  </si>
  <si>
    <t>FUENTE: INEGI. Estadísticas de natalidad.</t>
  </si>
  <si>
    <t>K</t>
  </si>
  <si>
    <t>Tasas de crecimiento exponencial para Edades Específicas MEF</t>
  </si>
  <si>
    <t>Coahuila: nacimientos por grupos quinquenales de edad de la madre, 2010</t>
  </si>
  <si>
    <r>
      <t>t</t>
    </r>
    <r>
      <rPr>
        <vertAlign val="subscript"/>
        <sz val="10"/>
        <color theme="1"/>
        <rFont val="Cambria"/>
        <family val="1"/>
      </rPr>
      <t>i</t>
    </r>
  </si>
  <si>
    <r>
      <t>Δ</t>
    </r>
    <r>
      <rPr>
        <vertAlign val="subscript"/>
        <sz val="10"/>
        <color theme="1"/>
        <rFont val="Cambria"/>
        <family val="1"/>
      </rPr>
      <t>t</t>
    </r>
  </si>
  <si>
    <t>Población 27/03/2010</t>
  </si>
  <si>
    <r>
      <t>N27</t>
    </r>
    <r>
      <rPr>
        <vertAlign val="superscript"/>
        <sz val="11"/>
        <color theme="1"/>
        <rFont val="Cambria"/>
        <family val="1"/>
      </rPr>
      <t>/03/2010</t>
    </r>
  </si>
  <si>
    <r>
      <t>N</t>
    </r>
    <r>
      <rPr>
        <vertAlign val="superscript"/>
        <sz val="11"/>
        <color theme="1"/>
        <rFont val="Cambria"/>
        <family val="1"/>
      </rPr>
      <t>27/03/2010</t>
    </r>
  </si>
  <si>
    <t>Coahuila: nacimientos por sexo, 2010</t>
  </si>
  <si>
    <t xml:space="preserve">a. Tasas brutas de natalidad </t>
  </si>
  <si>
    <t>Tasas brutas de natalidad (b)</t>
  </si>
  <si>
    <t>País</t>
  </si>
  <si>
    <t>b</t>
  </si>
  <si>
    <t>b. PMEF</t>
  </si>
  <si>
    <t>Proporción de Mujeres en Edad Fértil</t>
  </si>
  <si>
    <t xml:space="preserve"> PMEF</t>
  </si>
  <si>
    <t>c. TFG</t>
  </si>
  <si>
    <t>TFG</t>
  </si>
  <si>
    <t xml:space="preserve">TFG </t>
  </si>
  <si>
    <t>TGF</t>
  </si>
  <si>
    <t>TBR</t>
  </si>
  <si>
    <t>TNR</t>
  </si>
  <si>
    <r>
      <t>B</t>
    </r>
    <r>
      <rPr>
        <b/>
        <vertAlign val="superscript"/>
        <sz val="10"/>
        <color rgb="FF000000"/>
        <rFont val="Cambria"/>
        <family val="1"/>
      </rPr>
      <t>z</t>
    </r>
  </si>
  <si>
    <t>Estado</t>
  </si>
  <si>
    <t>Coahuila</t>
  </si>
  <si>
    <r>
      <t xml:space="preserve">N </t>
    </r>
    <r>
      <rPr>
        <b/>
        <vertAlign val="superscript"/>
        <sz val="10"/>
        <color rgb="FF000000"/>
        <rFont val="Cambria"/>
        <family val="1"/>
      </rPr>
      <t>27-03-z</t>
    </r>
  </si>
  <si>
    <r>
      <t xml:space="preserve">MEF </t>
    </r>
    <r>
      <rPr>
        <b/>
        <vertAlign val="superscript"/>
        <sz val="10"/>
        <color theme="1"/>
        <rFont val="Cambria"/>
        <family val="1"/>
      </rPr>
      <t>27-03-z</t>
    </r>
  </si>
  <si>
    <t>Punto medio</t>
  </si>
  <si>
    <t>x</t>
  </si>
  <si>
    <t>x+n</t>
  </si>
  <si>
    <t>Nacimientos</t>
  </si>
  <si>
    <t>f(x,5)</t>
  </si>
  <si>
    <t>% f(x,5)</t>
  </si>
  <si>
    <t>f(x,5) fem</t>
  </si>
  <si>
    <t>L(x) fem</t>
  </si>
  <si>
    <r>
      <rPr>
        <b/>
        <vertAlign val="subscript"/>
        <sz val="10"/>
        <color theme="1"/>
        <rFont val="Arial"/>
        <family val="2"/>
      </rPr>
      <t>m+2,5</t>
    </r>
    <r>
      <rPr>
        <b/>
        <sz val="10"/>
        <color theme="1"/>
        <rFont val="Arial"/>
        <family val="2"/>
      </rPr>
      <t>P</t>
    </r>
    <r>
      <rPr>
        <b/>
        <vertAlign val="subscript"/>
        <sz val="10"/>
        <color theme="1"/>
        <rFont val="Arial"/>
        <family val="2"/>
      </rPr>
      <t>0</t>
    </r>
  </si>
  <si>
    <r>
      <rPr>
        <b/>
        <vertAlign val="subscript"/>
        <sz val="10"/>
        <color theme="1"/>
        <rFont val="Arial"/>
        <family val="2"/>
      </rPr>
      <t>m+2,5</t>
    </r>
    <r>
      <rPr>
        <b/>
        <sz val="10"/>
        <color theme="1"/>
        <rFont val="Arial"/>
        <family val="2"/>
      </rPr>
      <t>P</t>
    </r>
    <r>
      <rPr>
        <b/>
        <vertAlign val="subscript"/>
        <sz val="10"/>
        <color theme="1"/>
        <rFont val="Arial"/>
        <family val="2"/>
      </rPr>
      <t>0</t>
    </r>
    <r>
      <rPr>
        <b/>
        <sz val="10"/>
        <color theme="1"/>
        <rFont val="Arial"/>
        <family val="2"/>
      </rPr>
      <t xml:space="preserve"> * f(x,5)fem</t>
    </r>
  </si>
  <si>
    <t>TBR (K obs)</t>
  </si>
  <si>
    <t>Población femenina 27/03/2010</t>
  </si>
  <si>
    <r>
      <t xml:space="preserve">MEF </t>
    </r>
    <r>
      <rPr>
        <b/>
        <vertAlign val="superscript"/>
        <sz val="10"/>
        <color rgb="FF000000"/>
        <rFont val="Cambria"/>
        <family val="1"/>
      </rPr>
      <t>27-03-z</t>
    </r>
  </si>
  <si>
    <t>85+</t>
  </si>
  <si>
    <t>x (edad)</t>
  </si>
  <si>
    <t>n</t>
  </si>
  <si>
    <r>
      <rPr>
        <b/>
        <vertAlign val="subscript"/>
        <sz val="11"/>
        <rFont val="Cambria"/>
        <family val="1"/>
      </rPr>
      <t>n</t>
    </r>
    <r>
      <rPr>
        <b/>
        <sz val="11"/>
        <rFont val="Cambria"/>
        <family val="1"/>
      </rPr>
      <t>N</t>
    </r>
    <r>
      <rPr>
        <b/>
        <vertAlign val="subscript"/>
        <sz val="11"/>
        <rFont val="Cambria"/>
        <family val="1"/>
      </rPr>
      <t>x</t>
    </r>
  </si>
  <si>
    <r>
      <rPr>
        <b/>
        <vertAlign val="subscript"/>
        <sz val="11"/>
        <rFont val="Cambria"/>
        <family val="1"/>
      </rPr>
      <t>n</t>
    </r>
    <r>
      <rPr>
        <b/>
        <sz val="11"/>
        <rFont val="Cambria"/>
        <family val="1"/>
      </rPr>
      <t>D</t>
    </r>
    <r>
      <rPr>
        <b/>
        <vertAlign val="subscript"/>
        <sz val="11"/>
        <rFont val="Cambria"/>
        <family val="1"/>
      </rPr>
      <t>x</t>
    </r>
  </si>
  <si>
    <r>
      <rPr>
        <b/>
        <vertAlign val="subscript"/>
        <sz val="11"/>
        <rFont val="Cambria"/>
        <family val="1"/>
      </rPr>
      <t>n</t>
    </r>
    <r>
      <rPr>
        <b/>
        <sz val="11"/>
        <rFont val="Cambria"/>
        <family val="1"/>
      </rPr>
      <t>m</t>
    </r>
    <r>
      <rPr>
        <b/>
        <vertAlign val="subscript"/>
        <sz val="11"/>
        <rFont val="Cambria"/>
        <family val="1"/>
      </rPr>
      <t>x</t>
    </r>
  </si>
  <si>
    <r>
      <rPr>
        <b/>
        <vertAlign val="subscript"/>
        <sz val="11"/>
        <rFont val="Cambria"/>
        <family val="1"/>
      </rPr>
      <t>n</t>
    </r>
    <r>
      <rPr>
        <b/>
        <sz val="11"/>
        <rFont val="Cambria"/>
        <family val="1"/>
      </rPr>
      <t>a</t>
    </r>
    <r>
      <rPr>
        <b/>
        <vertAlign val="subscript"/>
        <sz val="11"/>
        <rFont val="Cambria"/>
        <family val="1"/>
      </rPr>
      <t>x</t>
    </r>
  </si>
  <si>
    <r>
      <rPr>
        <b/>
        <vertAlign val="subscript"/>
        <sz val="11"/>
        <rFont val="Cambria"/>
        <family val="1"/>
      </rPr>
      <t>n</t>
    </r>
    <r>
      <rPr>
        <b/>
        <sz val="11"/>
        <rFont val="Cambria"/>
        <family val="1"/>
      </rPr>
      <t>q</t>
    </r>
    <r>
      <rPr>
        <b/>
        <vertAlign val="subscript"/>
        <sz val="11"/>
        <rFont val="Cambria"/>
        <family val="1"/>
      </rPr>
      <t>x</t>
    </r>
  </si>
  <si>
    <r>
      <rPr>
        <b/>
        <vertAlign val="subscript"/>
        <sz val="11"/>
        <rFont val="Cambria"/>
        <family val="1"/>
      </rPr>
      <t>n</t>
    </r>
    <r>
      <rPr>
        <b/>
        <sz val="11"/>
        <rFont val="Cambria"/>
        <family val="1"/>
      </rPr>
      <t>p</t>
    </r>
    <r>
      <rPr>
        <b/>
        <vertAlign val="subscript"/>
        <sz val="11"/>
        <rFont val="Cambria"/>
        <family val="1"/>
      </rPr>
      <t>x</t>
    </r>
  </si>
  <si>
    <r>
      <t>l</t>
    </r>
    <r>
      <rPr>
        <b/>
        <vertAlign val="subscript"/>
        <sz val="11"/>
        <rFont val="Cambria"/>
        <family val="1"/>
      </rPr>
      <t>x</t>
    </r>
  </si>
  <si>
    <r>
      <rPr>
        <b/>
        <vertAlign val="subscript"/>
        <sz val="11"/>
        <rFont val="Cambria"/>
        <family val="1"/>
      </rPr>
      <t>n</t>
    </r>
    <r>
      <rPr>
        <b/>
        <sz val="11"/>
        <rFont val="Cambria"/>
        <family val="1"/>
      </rPr>
      <t>d</t>
    </r>
    <r>
      <rPr>
        <b/>
        <vertAlign val="subscript"/>
        <sz val="11"/>
        <rFont val="Cambria"/>
        <family val="1"/>
      </rPr>
      <t>x</t>
    </r>
  </si>
  <si>
    <r>
      <rPr>
        <b/>
        <vertAlign val="subscript"/>
        <sz val="11"/>
        <rFont val="Cambria"/>
        <family val="1"/>
      </rPr>
      <t>n</t>
    </r>
    <r>
      <rPr>
        <b/>
        <sz val="11"/>
        <rFont val="Cambria"/>
        <family val="1"/>
      </rPr>
      <t>L</t>
    </r>
    <r>
      <rPr>
        <b/>
        <vertAlign val="subscript"/>
        <sz val="11"/>
        <rFont val="Cambria"/>
        <family val="1"/>
      </rPr>
      <t>x</t>
    </r>
  </si>
  <si>
    <r>
      <t>T</t>
    </r>
    <r>
      <rPr>
        <b/>
        <vertAlign val="subscript"/>
        <sz val="11"/>
        <rFont val="Cambria"/>
        <family val="1"/>
      </rPr>
      <t>x</t>
    </r>
  </si>
  <si>
    <t>Coahuila: tabla de mortalidad femenina, 2010</t>
  </si>
  <si>
    <t>Coahuila 2019</t>
  </si>
  <si>
    <r>
      <t>N</t>
    </r>
    <r>
      <rPr>
        <vertAlign val="superscript"/>
        <sz val="11"/>
        <color theme="1"/>
        <rFont val="Cambria"/>
        <family val="1"/>
      </rPr>
      <t>2019</t>
    </r>
  </si>
  <si>
    <t>AÑO 2010</t>
  </si>
  <si>
    <t>AÑO 2019</t>
  </si>
  <si>
    <t>Coahuila: tabla de mortalidad femenina, 2019</t>
  </si>
  <si>
    <r>
      <rPr>
        <b/>
        <sz val="10"/>
        <color theme="1"/>
        <rFont val="Arial"/>
        <family val="2"/>
      </rPr>
      <t>Análisis de evolución de la fecundidad en Coahuila, 2010–2019</t>
    </r>
    <r>
      <rPr>
        <sz val="10"/>
        <color theme="1"/>
        <rFont val="Arial"/>
        <family val="2"/>
      </rPr>
      <t xml:space="preserve">
Entre 2010 y 2019, Coahuila muestra una **disminución clara de la fecundidad** en prácticamente todos los grupos de edad reproductiva. La **Tasa Global de Fecundidad (TGF)** pasó de **2.47 hijos por mujer en 2010** a **1.73 hijos por mujer en 2019**, lo que representa una reducción aproximada de **30%**. Esto indica que, en promedio, las mujeres tuvieron menos hijos en 2019 que en 2010.
La caída también se observa en la **Tasa Bruta de Reproducción (TBR)**, que bajó de **1.2028** a **0.8429**, y en la **Tasa Neta de Reproducción (TNR)**, que disminuyó de **1.18** a **0.83**. Este cambio es importante porque en 2010 la TNR era mayor que 1, lo que indicaba que la generación de mujeres podía reemplazarse a sí misma. En cambio, para 2019 la TNR es menor que 1, lo que sugiere una fecundidad por debajo del nivel de reemplazo.
Por grupos de edad, la fecundidad más alta se mantiene en las mujeres de **20 a 24 años**, aunque también presenta una reducción importante: pasó de **0.1420 en 2010** a **0.0969 en 2019**. El grupo de **25 a 29 años** continúa siendo el segundo más importante, bajando de **0.1312** a **0.0903**. Esto muestra que la mayor concentración de nacimientos sigue ocurriendo entre los **20 y 29 años**, pero con niveles menores que en 2010.
También destaca la reducción de la fecundidad adolescente. En el grupo de **15 a 19 años**, la tasa pasó de **0.0922** a **0.0590**, lo cual representa una disminución considerable. Esto puede interpretarse como una menor intensidad de nacimientos en edades tempranas.
Aunque la fecundidad disminuye en todos los grupos, la distribución relativa cambia ligeramente. En 2019, los grupos de **30 a 34** y **35 a 39 años** tienen una participación relativamente mayor que en 2010. Esto sugiere un posible **desplazamiento de la fecundidad hacia edades más avanzadas**, es decir, las mujeres tienden a postergar la maternidad.
En términos generales, la evolución muestra que Coahuila pasó de un patrón de fecundidad más alto en 2010 a uno más bajo en 2019. La estructura por edad conserva la misma forma: una fecundidad baja al inicio, un máximo entre los 20 y 29 años, y una disminución progresiva después de los 30 años. Sin embargo, toda la curva de 2019 se encuentra por debajo de la de 2010, confirmando una reducción generalizada de la fecundidad en el estado.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</si>
</sst>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0.0000"/>
    <numFmt numFmtId="166" formatCode="0.0"/>
    <numFmt numFmtId="167" formatCode="0.000"/>
  </numFmts>
  <fonts count="32" x14ac:knownFonts="1">
    <font>
      <sz val="11"/>
      <color theme="1"/>
      <name val="Aptos Narrow"/>
      <family val="2"/>
      <scheme val="minor"/>
    </font>
    <font>
      <sz val="11"/>
      <name val="Calibri"/>
    </font>
    <font>
      <sz val="11"/>
      <name val="Cambria"/>
      <family val="1"/>
    </font>
    <font>
      <sz val="11"/>
      <color theme="1"/>
      <name val="Cambria"/>
      <family val="1"/>
    </font>
    <font>
      <sz val="11"/>
      <color theme="0"/>
      <name val="Cambria"/>
      <family val="1"/>
    </font>
    <font>
      <b/>
      <sz val="11"/>
      <color theme="0"/>
      <name val="Cambria"/>
      <family val="1"/>
    </font>
    <font>
      <sz val="10"/>
      <color theme="1"/>
      <name val="Arial"/>
      <family val="2"/>
    </font>
    <font>
      <sz val="10"/>
      <color theme="1"/>
      <name val="Cambria"/>
      <family val="1"/>
    </font>
    <font>
      <sz val="10"/>
      <name val="Cambria"/>
      <family val="1"/>
    </font>
    <font>
      <sz val="8"/>
      <color theme="0" tint="-0.14999847407452621"/>
      <name val="Cambria"/>
      <family val="1"/>
    </font>
    <font>
      <sz val="10"/>
      <color rgb="FF000000"/>
      <name val="Arial"/>
      <family val="2"/>
    </font>
    <font>
      <b/>
      <sz val="10"/>
      <color theme="1"/>
      <name val="Arial"/>
      <family val="2"/>
    </font>
    <font>
      <sz val="11"/>
      <name val="Calibri"/>
      <family val="2"/>
    </font>
    <font>
      <sz val="10"/>
      <color rgb="FF000000"/>
      <name val="Cambria"/>
      <family val="1"/>
    </font>
    <font>
      <b/>
      <sz val="10"/>
      <color theme="1"/>
      <name val="Cambria"/>
      <family val="1"/>
    </font>
    <font>
      <b/>
      <sz val="10"/>
      <color rgb="FF000000"/>
      <name val="Cambria"/>
      <family val="1"/>
    </font>
    <font>
      <b/>
      <sz val="11"/>
      <color theme="1"/>
      <name val="Cambria"/>
      <family val="1"/>
    </font>
    <font>
      <sz val="8"/>
      <color theme="1"/>
      <name val="Cambria"/>
      <family val="1"/>
    </font>
    <font>
      <vertAlign val="subscript"/>
      <sz val="10"/>
      <color theme="1"/>
      <name val="Cambria"/>
      <family val="1"/>
    </font>
    <font>
      <vertAlign val="superscript"/>
      <sz val="11"/>
      <color theme="1"/>
      <name val="Cambria"/>
      <family val="1"/>
    </font>
    <font>
      <sz val="10"/>
      <color rgb="FF7030A0"/>
      <name val="Arial"/>
      <family val="2"/>
    </font>
    <font>
      <b/>
      <vertAlign val="superscript"/>
      <sz val="10"/>
      <color rgb="FF000000"/>
      <name val="Cambria"/>
      <family val="1"/>
    </font>
    <font>
      <sz val="10"/>
      <color rgb="FFFF0000"/>
      <name val="Cambria"/>
      <family val="1"/>
    </font>
    <font>
      <b/>
      <vertAlign val="superscript"/>
      <sz val="10"/>
      <color theme="1"/>
      <name val="Cambria"/>
      <family val="1"/>
    </font>
    <font>
      <b/>
      <vertAlign val="subscript"/>
      <sz val="10"/>
      <color theme="1"/>
      <name val="Arial"/>
      <family val="2"/>
    </font>
    <font>
      <b/>
      <sz val="10"/>
      <color theme="5"/>
      <name val="Arial"/>
      <family val="2"/>
    </font>
    <font>
      <b/>
      <sz val="10"/>
      <name val="Arial"/>
      <family val="2"/>
    </font>
    <font>
      <b/>
      <sz val="9"/>
      <color theme="1"/>
      <name val="Arial"/>
      <family val="2"/>
    </font>
    <font>
      <sz val="11"/>
      <color rgb="FFFF0000"/>
      <name val="Cambria"/>
      <family val="1"/>
    </font>
    <font>
      <b/>
      <sz val="11"/>
      <name val="Cambria"/>
      <family val="1"/>
    </font>
    <font>
      <b/>
      <vertAlign val="subscript"/>
      <sz val="11"/>
      <name val="Cambria"/>
      <family val="1"/>
    </font>
    <font>
      <sz val="10"/>
      <color theme="0"/>
      <name val="Cambria"/>
      <family val="1"/>
    </font>
  </fonts>
  <fills count="17">
    <fill>
      <patternFill patternType="none"/>
    </fill>
    <fill>
      <patternFill patternType="gray125"/>
    </fill>
    <fill>
      <patternFill patternType="solid">
        <fgColor theme="1" tint="0.14999847407452621"/>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bgColor indexed="64"/>
      </patternFill>
    </fill>
    <fill>
      <patternFill patternType="solid">
        <fgColor rgb="FFFFFFCC"/>
        <bgColor indexed="64"/>
      </patternFill>
    </fill>
    <fill>
      <patternFill patternType="solid">
        <fgColor theme="8" tint="0.39997558519241921"/>
        <bgColor indexed="64"/>
      </patternFill>
    </fill>
    <fill>
      <patternFill patternType="solid">
        <fgColor rgb="FFFFC000"/>
        <bgColor indexed="64"/>
      </patternFill>
    </fill>
    <fill>
      <patternFill patternType="solid">
        <fgColor theme="3" tint="0.79998168889431442"/>
        <bgColor indexed="64"/>
      </patternFill>
    </fill>
    <fill>
      <patternFill patternType="solid">
        <fgColor rgb="FFF9F5D7"/>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1" tint="0.34998626667073579"/>
        <bgColor indexed="64"/>
      </patternFill>
    </fill>
  </fills>
  <borders count="13">
    <border>
      <left/>
      <right/>
      <top/>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s>
  <cellStyleXfs count="3">
    <xf numFmtId="0" fontId="0" fillId="0" borderId="0"/>
    <xf numFmtId="0" fontId="1" fillId="0" borderId="0"/>
    <xf numFmtId="0" fontId="12" fillId="0" borderId="0"/>
  </cellStyleXfs>
  <cellXfs count="171">
    <xf numFmtId="0" fontId="0" fillId="0" borderId="0" xfId="0"/>
    <xf numFmtId="0" fontId="3" fillId="0" borderId="0" xfId="0" applyFont="1"/>
    <xf numFmtId="0" fontId="2" fillId="0" borderId="0" xfId="1" applyFont="1"/>
    <xf numFmtId="164" fontId="2" fillId="0" borderId="0" xfId="1" applyNumberFormat="1" applyFont="1" applyAlignment="1">
      <alignment horizontal="left" vertical="top"/>
    </xf>
    <xf numFmtId="0" fontId="8" fillId="0" borderId="0" xfId="1" applyFont="1"/>
    <xf numFmtId="164" fontId="8" fillId="0" borderId="0" xfId="1" applyNumberFormat="1" applyFont="1" applyAlignment="1">
      <alignment horizontal="left" vertical="top"/>
    </xf>
    <xf numFmtId="0" fontId="7" fillId="0" borderId="0" xfId="0" applyFont="1"/>
    <xf numFmtId="164" fontId="8" fillId="3" borderId="0" xfId="1" applyNumberFormat="1" applyFont="1" applyFill="1" applyAlignment="1">
      <alignment horizontal="left" vertical="top"/>
    </xf>
    <xf numFmtId="164" fontId="8" fillId="4" borderId="0" xfId="1" applyNumberFormat="1" applyFont="1" applyFill="1" applyAlignment="1">
      <alignment horizontal="left" vertical="top"/>
    </xf>
    <xf numFmtId="0" fontId="7" fillId="5" borderId="0" xfId="0" applyFont="1" applyFill="1"/>
    <xf numFmtId="0" fontId="8" fillId="6" borderId="0" xfId="1" applyFont="1" applyFill="1"/>
    <xf numFmtId="3" fontId="8" fillId="6" borderId="0" xfId="1" applyNumberFormat="1" applyFont="1" applyFill="1" applyAlignment="1">
      <alignment horizontal="left" vertical="top"/>
    </xf>
    <xf numFmtId="3" fontId="8" fillId="7" borderId="0" xfId="1" applyNumberFormat="1" applyFont="1" applyFill="1" applyAlignment="1">
      <alignment horizontal="right" vertical="top"/>
    </xf>
    <xf numFmtId="0" fontId="7" fillId="6" borderId="0" xfId="0" applyFont="1" applyFill="1" applyAlignment="1">
      <alignment horizontal="center" vertical="center"/>
    </xf>
    <xf numFmtId="16" fontId="7" fillId="6" borderId="0" xfId="0" quotePrefix="1" applyNumberFormat="1" applyFont="1" applyFill="1" applyAlignment="1">
      <alignment horizontal="center" vertical="center"/>
    </xf>
    <xf numFmtId="3" fontId="8" fillId="8" borderId="0" xfId="1" applyNumberFormat="1" applyFont="1" applyFill="1" applyAlignment="1">
      <alignment horizontal="left" vertical="top"/>
    </xf>
    <xf numFmtId="3" fontId="7" fillId="8" borderId="0" xfId="0" applyNumberFormat="1" applyFont="1" applyFill="1"/>
    <xf numFmtId="3" fontId="7" fillId="8" borderId="0" xfId="0" applyNumberFormat="1" applyFont="1" applyFill="1" applyAlignment="1">
      <alignment horizontal="left" vertical="top"/>
    </xf>
    <xf numFmtId="0" fontId="9" fillId="0" borderId="0" xfId="1" applyFont="1"/>
    <xf numFmtId="3" fontId="8" fillId="9" borderId="0" xfId="1" applyNumberFormat="1" applyFont="1" applyFill="1" applyAlignment="1">
      <alignment horizontal="left" vertical="top"/>
    </xf>
    <xf numFmtId="3" fontId="7" fillId="9" borderId="0" xfId="0" applyNumberFormat="1" applyFont="1" applyFill="1" applyAlignment="1">
      <alignment horizontal="left" vertical="top"/>
    </xf>
    <xf numFmtId="3" fontId="7" fillId="6" borderId="0" xfId="0" applyNumberFormat="1" applyFont="1" applyFill="1" applyAlignment="1">
      <alignment horizontal="left" vertical="top"/>
    </xf>
    <xf numFmtId="0" fontId="7" fillId="0" borderId="0" xfId="0" applyFont="1" applyAlignment="1">
      <alignment horizontal="center" vertical="center"/>
    </xf>
    <xf numFmtId="164" fontId="7" fillId="0" borderId="0" xfId="0" applyNumberFormat="1" applyFont="1" applyAlignment="1">
      <alignment horizontal="left" vertical="top"/>
    </xf>
    <xf numFmtId="3" fontId="7" fillId="0" borderId="0" xfId="0" applyNumberFormat="1" applyFont="1"/>
    <xf numFmtId="3" fontId="7" fillId="7" borderId="0" xfId="0" applyNumberFormat="1" applyFont="1" applyFill="1"/>
    <xf numFmtId="0" fontId="1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vertical="center"/>
    </xf>
    <xf numFmtId="0" fontId="15" fillId="0" borderId="5" xfId="0" applyFont="1" applyBorder="1" applyAlignment="1">
      <alignment horizontal="center" vertical="center"/>
    </xf>
    <xf numFmtId="0" fontId="14" fillId="0" borderId="5" xfId="0" applyFont="1" applyBorder="1" applyAlignment="1">
      <alignment horizontal="center" vertical="center"/>
    </xf>
    <xf numFmtId="0" fontId="17" fillId="0" borderId="0" xfId="0" applyFont="1" applyAlignment="1">
      <alignment vertical="center"/>
    </xf>
    <xf numFmtId="0" fontId="3" fillId="0" borderId="5" xfId="0" applyFont="1" applyBorder="1" applyAlignment="1">
      <alignment vertical="center"/>
    </xf>
    <xf numFmtId="165" fontId="3" fillId="0" borderId="5" xfId="0" applyNumberFormat="1" applyFont="1" applyBorder="1" applyAlignment="1">
      <alignment vertical="center"/>
    </xf>
    <xf numFmtId="0" fontId="17" fillId="0" borderId="0" xfId="0" applyFont="1" applyAlignment="1">
      <alignment vertical="center" wrapText="1"/>
    </xf>
    <xf numFmtId="0" fontId="16" fillId="0" borderId="2" xfId="0" applyFont="1" applyBorder="1"/>
    <xf numFmtId="0" fontId="3" fillId="0" borderId="2" xfId="0" applyFont="1" applyBorder="1"/>
    <xf numFmtId="0" fontId="7" fillId="0" borderId="2" xfId="0" applyFont="1" applyBorder="1" applyAlignment="1">
      <alignment horizontal="center" vertical="center"/>
    </xf>
    <xf numFmtId="0" fontId="3" fillId="10" borderId="2" xfId="0" applyFont="1" applyFill="1" applyBorder="1" applyAlignment="1">
      <alignment horizontal="center" vertical="center"/>
    </xf>
    <xf numFmtId="14" fontId="7" fillId="0" borderId="0" xfId="0" applyNumberFormat="1" applyFont="1" applyAlignment="1">
      <alignment vertical="center"/>
    </xf>
    <xf numFmtId="2" fontId="7" fillId="0" borderId="0" xfId="0" applyNumberFormat="1" applyFont="1" applyAlignment="1">
      <alignment vertical="center"/>
    </xf>
    <xf numFmtId="1" fontId="7" fillId="0" borderId="0" xfId="0" applyNumberFormat="1" applyFont="1" applyAlignment="1">
      <alignment horizontal="center" vertical="center"/>
    </xf>
    <xf numFmtId="14" fontId="7" fillId="0" borderId="2" xfId="0" applyNumberFormat="1" applyFont="1" applyBorder="1" applyAlignment="1">
      <alignment vertical="center"/>
    </xf>
    <xf numFmtId="2" fontId="7" fillId="0" borderId="2" xfId="0" applyNumberFormat="1" applyFont="1" applyBorder="1" applyAlignment="1">
      <alignment vertical="center"/>
    </xf>
    <xf numFmtId="1" fontId="7" fillId="0" borderId="2" xfId="0" applyNumberFormat="1" applyFont="1" applyBorder="1" applyAlignment="1">
      <alignment horizontal="center" vertical="center"/>
    </xf>
    <xf numFmtId="0" fontId="7" fillId="0" borderId="4" xfId="0" applyFont="1" applyBorder="1" applyAlignment="1">
      <alignment horizontal="right" vertical="center"/>
    </xf>
    <xf numFmtId="2" fontId="7" fillId="0" borderId="4" xfId="0" applyNumberFormat="1" applyFont="1" applyBorder="1" applyAlignment="1">
      <alignment vertical="center"/>
    </xf>
    <xf numFmtId="0" fontId="14" fillId="6" borderId="0" xfId="0" applyFont="1" applyFill="1" applyAlignment="1">
      <alignment horizontal="center" vertical="center" wrapText="1"/>
    </xf>
    <xf numFmtId="0" fontId="15" fillId="6" borderId="0" xfId="0" applyFont="1" applyFill="1" applyAlignment="1">
      <alignment horizontal="center" vertical="center"/>
    </xf>
    <xf numFmtId="14" fontId="7" fillId="0" borderId="0" xfId="0" applyNumberFormat="1" applyFont="1" applyAlignment="1">
      <alignment horizontal="center" vertical="center"/>
    </xf>
    <xf numFmtId="14" fontId="7" fillId="0" borderId="2" xfId="0" applyNumberFormat="1" applyFont="1" applyBorder="1" applyAlignment="1">
      <alignment horizontal="center" vertical="center"/>
    </xf>
    <xf numFmtId="0" fontId="10" fillId="0" borderId="0" xfId="0" applyFont="1" applyAlignment="1">
      <alignment horizontal="right" vertical="center" wrapText="1"/>
    </xf>
    <xf numFmtId="164" fontId="8" fillId="3" borderId="0" xfId="1" applyNumberFormat="1" applyFont="1" applyFill="1" applyAlignment="1">
      <alignment horizontal="center" vertical="center"/>
    </xf>
    <xf numFmtId="164" fontId="8" fillId="4" borderId="0" xfId="1" applyNumberFormat="1" applyFont="1" applyFill="1" applyAlignment="1">
      <alignment horizontal="center" vertical="center"/>
    </xf>
    <xf numFmtId="0" fontId="7" fillId="5" borderId="0" xfId="0" applyFont="1" applyFill="1" applyAlignment="1">
      <alignment horizontal="center" vertical="center"/>
    </xf>
    <xf numFmtId="3" fontId="2" fillId="6" borderId="0" xfId="2" applyNumberFormat="1" applyFont="1" applyFill="1" applyAlignment="1">
      <alignment horizontal="center" vertical="center"/>
    </xf>
    <xf numFmtId="0" fontId="9" fillId="0" borderId="0" xfId="2" applyFont="1"/>
    <xf numFmtId="0" fontId="4" fillId="0" borderId="0" xfId="0" applyFont="1" applyAlignment="1">
      <alignment vertical="center" wrapText="1"/>
    </xf>
    <xf numFmtId="0" fontId="6" fillId="0" borderId="0" xfId="0" applyFont="1"/>
    <xf numFmtId="0" fontId="11" fillId="0" borderId="0" xfId="0" applyFont="1" applyAlignment="1">
      <alignment vertical="center"/>
    </xf>
    <xf numFmtId="0" fontId="6" fillId="0" borderId="5" xfId="0" applyFont="1" applyBorder="1" applyAlignment="1">
      <alignment horizontal="center" vertical="center"/>
    </xf>
    <xf numFmtId="0" fontId="15" fillId="0" borderId="0" xfId="0" applyFont="1" applyAlignment="1">
      <alignment vertical="center"/>
    </xf>
    <xf numFmtId="0" fontId="7" fillId="0" borderId="0" xfId="0" applyFont="1" applyAlignment="1">
      <alignment wrapText="1"/>
    </xf>
    <xf numFmtId="0" fontId="22" fillId="0" borderId="0" xfId="0" applyFont="1" applyAlignment="1">
      <alignment horizontal="center" vertical="center"/>
    </xf>
    <xf numFmtId="0" fontId="13" fillId="0" borderId="5" xfId="0" applyFont="1" applyBorder="1" applyAlignment="1">
      <alignment horizontal="center" vertical="center"/>
    </xf>
    <xf numFmtId="1" fontId="13"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4" fillId="0" borderId="0" xfId="0" applyFont="1" applyAlignment="1">
      <alignment vertical="center"/>
    </xf>
    <xf numFmtId="0" fontId="3" fillId="0" borderId="5" xfId="0" applyFont="1" applyBorder="1"/>
    <xf numFmtId="1" fontId="7" fillId="0" borderId="5" xfId="0" applyNumberFormat="1" applyFont="1" applyBorder="1" applyAlignment="1">
      <alignment horizontal="center" vertical="center"/>
    </xf>
    <xf numFmtId="2" fontId="3" fillId="0" borderId="1" xfId="0" applyNumberFormat="1" applyFont="1" applyBorder="1"/>
    <xf numFmtId="166" fontId="13" fillId="13" borderId="5" xfId="0" applyNumberFormat="1" applyFont="1" applyFill="1" applyBorder="1" applyAlignment="1">
      <alignment horizontal="center" vertical="center"/>
    </xf>
    <xf numFmtId="2" fontId="13" fillId="13" borderId="5" xfId="0" applyNumberFormat="1" applyFont="1" applyFill="1" applyBorder="1" applyAlignment="1">
      <alignment horizontal="center" vertical="center"/>
    </xf>
    <xf numFmtId="2" fontId="7" fillId="13" borderId="5" xfId="0" applyNumberFormat="1"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165" fontId="6" fillId="0" borderId="0" xfId="0" applyNumberFormat="1" applyFont="1" applyAlignment="1">
      <alignment horizontal="center" vertical="center"/>
    </xf>
    <xf numFmtId="2" fontId="6" fillId="0" borderId="0" xfId="0" applyNumberFormat="1" applyFont="1"/>
    <xf numFmtId="0" fontId="11" fillId="14" borderId="5" xfId="0" applyFont="1" applyFill="1" applyBorder="1" applyAlignment="1">
      <alignment horizontal="center" vertical="center" wrapText="1"/>
    </xf>
    <xf numFmtId="0" fontId="6" fillId="0" borderId="5" xfId="0" applyFont="1" applyBorder="1" applyAlignment="1">
      <alignment vertical="center"/>
    </xf>
    <xf numFmtId="1" fontId="20" fillId="12" borderId="5" xfId="0" applyNumberFormat="1" applyFont="1" applyFill="1" applyBorder="1" applyAlignment="1">
      <alignment horizontal="right" vertical="center"/>
    </xf>
    <xf numFmtId="1" fontId="20" fillId="15" borderId="5" xfId="0" applyNumberFormat="1" applyFont="1" applyFill="1" applyBorder="1" applyAlignment="1">
      <alignment horizontal="center" vertical="center"/>
    </xf>
    <xf numFmtId="165" fontId="6" fillId="0" borderId="9" xfId="0" applyNumberFormat="1" applyFont="1" applyBorder="1" applyAlignment="1">
      <alignment vertical="center"/>
    </xf>
    <xf numFmtId="2" fontId="6" fillId="0" borderId="5" xfId="0" applyNumberFormat="1" applyFont="1" applyBorder="1" applyAlignment="1">
      <alignment vertical="center"/>
    </xf>
    <xf numFmtId="165" fontId="6" fillId="0" borderId="5" xfId="0" applyNumberFormat="1" applyFont="1" applyBorder="1" applyAlignment="1">
      <alignment vertical="center"/>
    </xf>
    <xf numFmtId="0" fontId="6" fillId="4" borderId="5" xfId="0" applyFont="1" applyFill="1" applyBorder="1" applyAlignment="1">
      <alignment horizontal="center" vertical="center"/>
    </xf>
    <xf numFmtId="0" fontId="11" fillId="4" borderId="5" xfId="0" applyFont="1" applyFill="1" applyBorder="1" applyAlignment="1">
      <alignment vertical="center"/>
    </xf>
    <xf numFmtId="1" fontId="20" fillId="4" borderId="5" xfId="0" applyNumberFormat="1" applyFont="1" applyFill="1" applyBorder="1" applyAlignment="1">
      <alignment horizontal="right" vertical="center"/>
    </xf>
    <xf numFmtId="1" fontId="20" fillId="4" borderId="5" xfId="0" applyNumberFormat="1" applyFont="1" applyFill="1" applyBorder="1" applyAlignment="1">
      <alignment horizontal="center" vertical="center"/>
    </xf>
    <xf numFmtId="165" fontId="6" fillId="4" borderId="9" xfId="0" applyNumberFormat="1" applyFont="1" applyFill="1" applyBorder="1" applyAlignment="1">
      <alignment vertical="center"/>
    </xf>
    <xf numFmtId="2" fontId="6" fillId="4" borderId="5" xfId="0" applyNumberFormat="1" applyFont="1" applyFill="1" applyBorder="1" applyAlignment="1">
      <alignment vertical="center"/>
    </xf>
    <xf numFmtId="0" fontId="6" fillId="4" borderId="5" xfId="0" applyFont="1" applyFill="1" applyBorder="1" applyAlignment="1">
      <alignment vertical="center"/>
    </xf>
    <xf numFmtId="165" fontId="6" fillId="4" borderId="5" xfId="0" applyNumberFormat="1" applyFont="1" applyFill="1" applyBorder="1" applyAlignment="1">
      <alignment vertical="center"/>
    </xf>
    <xf numFmtId="0" fontId="25" fillId="0" borderId="0" xfId="0" applyFont="1" applyAlignment="1">
      <alignment vertical="center"/>
    </xf>
    <xf numFmtId="0" fontId="26" fillId="0" borderId="5" xfId="0" applyFont="1" applyBorder="1" applyAlignment="1">
      <alignment horizontal="right" vertical="center"/>
    </xf>
    <xf numFmtId="2" fontId="25" fillId="0" borderId="9" xfId="0" applyNumberFormat="1" applyFont="1" applyBorder="1" applyAlignment="1">
      <alignment vertical="center"/>
    </xf>
    <xf numFmtId="1" fontId="25" fillId="0" borderId="5" xfId="0" applyNumberFormat="1" applyFont="1" applyBorder="1" applyAlignment="1">
      <alignment vertical="center"/>
    </xf>
    <xf numFmtId="0" fontId="11" fillId="0" borderId="5" xfId="0" applyFont="1" applyBorder="1" applyAlignment="1">
      <alignment horizontal="right" vertical="center"/>
    </xf>
    <xf numFmtId="2" fontId="6" fillId="0" borderId="10" xfId="0" applyNumberFormat="1" applyFont="1" applyBorder="1" applyAlignment="1">
      <alignment vertical="center"/>
    </xf>
    <xf numFmtId="0" fontId="6" fillId="0" borderId="11" xfId="0" applyFont="1" applyBorder="1" applyAlignment="1">
      <alignment vertical="center"/>
    </xf>
    <xf numFmtId="165" fontId="25" fillId="0" borderId="12" xfId="0" applyNumberFormat="1" applyFont="1" applyBorder="1" applyAlignment="1">
      <alignment vertical="center"/>
    </xf>
    <xf numFmtId="0" fontId="11" fillId="0" borderId="5" xfId="0" applyFont="1" applyBorder="1" applyAlignment="1">
      <alignment vertical="center"/>
    </xf>
    <xf numFmtId="0" fontId="6" fillId="0" borderId="6" xfId="0" applyFont="1" applyBorder="1" applyAlignment="1">
      <alignment vertical="center"/>
    </xf>
    <xf numFmtId="0" fontId="6" fillId="0" borderId="8" xfId="0" applyFont="1" applyBorder="1" applyAlignment="1">
      <alignment vertical="center"/>
    </xf>
    <xf numFmtId="167" fontId="6" fillId="0" borderId="0" xfId="0" applyNumberFormat="1" applyFont="1"/>
    <xf numFmtId="3" fontId="3" fillId="8" borderId="0" xfId="0" applyNumberFormat="1" applyFont="1" applyFill="1" applyAlignment="1">
      <alignment vertical="center"/>
    </xf>
    <xf numFmtId="3" fontId="7" fillId="5" borderId="0" xfId="0" applyNumberFormat="1" applyFont="1" applyFill="1" applyAlignment="1">
      <alignment horizontal="right" vertical="center"/>
    </xf>
    <xf numFmtId="3" fontId="3" fillId="10" borderId="0" xfId="0" applyNumberFormat="1" applyFont="1" applyFill="1" applyAlignment="1">
      <alignment vertical="center"/>
    </xf>
    <xf numFmtId="0" fontId="3" fillId="8" borderId="0" xfId="0" applyFont="1" applyFill="1" applyAlignment="1">
      <alignment horizontal="center" vertical="center"/>
    </xf>
    <xf numFmtId="3" fontId="3" fillId="8" borderId="0" xfId="0" applyNumberFormat="1" applyFont="1" applyFill="1" applyAlignment="1">
      <alignment horizontal="center" vertical="center"/>
    </xf>
    <xf numFmtId="0" fontId="27" fillId="15" borderId="5" xfId="0" applyFont="1" applyFill="1" applyBorder="1" applyAlignment="1">
      <alignment horizontal="center" vertical="center" wrapText="1"/>
    </xf>
    <xf numFmtId="0" fontId="14" fillId="0" borderId="0" xfId="0" applyFont="1" applyAlignment="1">
      <alignment horizontal="center" vertical="center" wrapText="1"/>
    </xf>
    <xf numFmtId="0" fontId="16" fillId="0" borderId="0" xfId="0" applyFont="1" applyAlignment="1">
      <alignment horizontal="left" vertical="center"/>
    </xf>
    <xf numFmtId="0" fontId="29" fillId="14" borderId="7" xfId="0" applyFont="1" applyFill="1" applyBorder="1" applyAlignment="1">
      <alignment horizontal="center" vertical="center"/>
    </xf>
    <xf numFmtId="0" fontId="5" fillId="14" borderId="7" xfId="0" applyFont="1" applyFill="1" applyBorder="1" applyAlignment="1">
      <alignment horizontal="center" vertical="center"/>
    </xf>
    <xf numFmtId="1" fontId="3" fillId="8" borderId="0" xfId="0" applyNumberFormat="1" applyFont="1" applyFill="1" applyAlignment="1">
      <alignment horizontal="center" vertical="center"/>
    </xf>
    <xf numFmtId="0" fontId="2" fillId="8" borderId="0" xfId="2" applyFont="1" applyFill="1" applyAlignment="1">
      <alignment horizontal="center" vertical="center"/>
    </xf>
    <xf numFmtId="165" fontId="28" fillId="8" borderId="0" xfId="0" applyNumberFormat="1" applyFont="1" applyFill="1" applyAlignment="1">
      <alignment horizontal="center" vertical="center"/>
    </xf>
    <xf numFmtId="165" fontId="28" fillId="8" borderId="0" xfId="0" applyNumberFormat="1" applyFont="1" applyFill="1" applyAlignment="1">
      <alignment horizontal="center"/>
    </xf>
    <xf numFmtId="1" fontId="28" fillId="8" borderId="0" xfId="0" applyNumberFormat="1" applyFont="1" applyFill="1" applyAlignment="1">
      <alignment horizontal="center" vertical="center"/>
    </xf>
    <xf numFmtId="2" fontId="28" fillId="8" borderId="0" xfId="0" applyNumberFormat="1" applyFont="1" applyFill="1" applyAlignment="1">
      <alignment horizontal="center" vertical="center"/>
    </xf>
    <xf numFmtId="1" fontId="3" fillId="8" borderId="0" xfId="0" quotePrefix="1" applyNumberFormat="1" applyFont="1" applyFill="1" applyAlignment="1">
      <alignment horizontal="center" vertical="center"/>
    </xf>
    <xf numFmtId="1" fontId="3" fillId="8" borderId="7" xfId="0" applyNumberFormat="1" applyFont="1" applyFill="1" applyBorder="1" applyAlignment="1">
      <alignment horizontal="center" vertical="center"/>
    </xf>
    <xf numFmtId="1" fontId="3" fillId="8" borderId="7" xfId="0" quotePrefix="1" applyNumberFormat="1" applyFont="1" applyFill="1" applyBorder="1" applyAlignment="1">
      <alignment horizontal="center" vertical="center"/>
    </xf>
    <xf numFmtId="3" fontId="8" fillId="8" borderId="7" xfId="1" applyNumberFormat="1" applyFont="1" applyFill="1" applyBorder="1" applyAlignment="1">
      <alignment horizontal="left" vertical="top"/>
    </xf>
    <xf numFmtId="3" fontId="2" fillId="8" borderId="7" xfId="2" applyNumberFormat="1" applyFont="1" applyFill="1" applyBorder="1" applyAlignment="1">
      <alignment horizontal="center" vertical="center"/>
    </xf>
    <xf numFmtId="165" fontId="28" fillId="8" borderId="7" xfId="0" applyNumberFormat="1" applyFont="1" applyFill="1" applyBorder="1" applyAlignment="1">
      <alignment horizontal="center" vertical="center"/>
    </xf>
    <xf numFmtId="1" fontId="28" fillId="8" borderId="7" xfId="0" applyNumberFormat="1" applyFont="1" applyFill="1" applyBorder="1" applyAlignment="1">
      <alignment horizontal="center" vertical="center"/>
    </xf>
    <xf numFmtId="2" fontId="28" fillId="8" borderId="7" xfId="0" applyNumberFormat="1" applyFont="1" applyFill="1" applyBorder="1" applyAlignment="1">
      <alignment horizontal="center" vertical="center"/>
    </xf>
    <xf numFmtId="0" fontId="4" fillId="0" borderId="0" xfId="1" applyFont="1" applyAlignment="1">
      <alignment vertical="center"/>
    </xf>
    <xf numFmtId="2" fontId="7" fillId="6" borderId="0" xfId="0" quotePrefix="1" applyNumberFormat="1" applyFont="1" applyFill="1" applyAlignment="1">
      <alignment horizontal="center" vertical="center"/>
    </xf>
    <xf numFmtId="3" fontId="7" fillId="8" borderId="0" xfId="0" applyNumberFormat="1" applyFont="1" applyFill="1" applyAlignment="1">
      <alignment horizontal="right" vertical="center" wrapText="1"/>
    </xf>
    <xf numFmtId="3" fontId="7" fillId="8" borderId="0" xfId="0" applyNumberFormat="1" applyFont="1" applyFill="1" applyAlignment="1">
      <alignment horizontal="left" vertical="center" wrapText="1"/>
    </xf>
    <xf numFmtId="3" fontId="8" fillId="8" borderId="0" xfId="2" applyNumberFormat="1" applyFont="1" applyFill="1" applyAlignment="1">
      <alignment horizontal="center" vertical="center"/>
    </xf>
    <xf numFmtId="0" fontId="8" fillId="8" borderId="0" xfId="2" applyFont="1" applyFill="1" applyAlignment="1">
      <alignment horizontal="center" vertical="center"/>
    </xf>
    <xf numFmtId="3" fontId="7" fillId="9" borderId="0" xfId="0" applyNumberFormat="1" applyFont="1" applyFill="1" applyAlignment="1">
      <alignment horizontal="left" vertical="center" wrapText="1"/>
    </xf>
    <xf numFmtId="0" fontId="7" fillId="0" borderId="2" xfId="0" applyFont="1" applyBorder="1" applyAlignment="1">
      <alignment vertical="center"/>
    </xf>
    <xf numFmtId="0" fontId="7" fillId="0" borderId="4" xfId="0" applyFont="1" applyBorder="1" applyAlignment="1">
      <alignment horizontal="center" vertical="center"/>
    </xf>
    <xf numFmtId="1" fontId="6" fillId="0" borderId="5" xfId="0" applyNumberFormat="1" applyFont="1" applyBorder="1" applyAlignment="1">
      <alignment vertical="center"/>
    </xf>
    <xf numFmtId="3" fontId="2" fillId="8" borderId="0" xfId="0" applyNumberFormat="1" applyFont="1" applyFill="1" applyAlignment="1">
      <alignment horizontal="center" vertical="center" wrapText="1"/>
    </xf>
    <xf numFmtId="3" fontId="2" fillId="8" borderId="7" xfId="0" applyNumberFormat="1" applyFont="1" applyFill="1" applyBorder="1" applyAlignment="1">
      <alignment horizontal="center" vertical="center" wrapText="1"/>
    </xf>
    <xf numFmtId="0" fontId="7" fillId="0" borderId="3" xfId="0" applyFont="1" applyBorder="1" applyAlignment="1">
      <alignment horizontal="center" vertical="center"/>
    </xf>
    <xf numFmtId="0" fontId="7" fillId="0" borderId="2" xfId="0" applyFont="1" applyBorder="1" applyAlignment="1">
      <alignment horizontal="center" vertical="center"/>
    </xf>
    <xf numFmtId="2" fontId="3" fillId="0" borderId="3" xfId="0" applyNumberFormat="1" applyFont="1" applyBorder="1" applyAlignment="1">
      <alignment horizontal="center" vertical="center"/>
    </xf>
    <xf numFmtId="2" fontId="3" fillId="0" borderId="2" xfId="0" applyNumberFormat="1" applyFont="1" applyBorder="1" applyAlignment="1">
      <alignment horizontal="center" vertical="center"/>
    </xf>
    <xf numFmtId="1" fontId="3" fillId="0" borderId="3" xfId="0" applyNumberFormat="1" applyFont="1" applyBorder="1" applyAlignment="1">
      <alignment horizontal="center" vertical="center"/>
    </xf>
    <xf numFmtId="1" fontId="3" fillId="0" borderId="2" xfId="0" applyNumberFormat="1" applyFont="1" applyBorder="1" applyAlignment="1">
      <alignment horizontal="center" vertical="center"/>
    </xf>
    <xf numFmtId="0" fontId="7" fillId="0" borderId="0" xfId="0" applyFont="1" applyAlignment="1">
      <alignment horizontal="center" vertical="center" wrapText="1"/>
    </xf>
    <xf numFmtId="0" fontId="16" fillId="0" borderId="0" xfId="0" applyFont="1" applyAlignment="1">
      <alignment horizontal="center" vertical="center"/>
    </xf>
    <xf numFmtId="0" fontId="4" fillId="2" borderId="0" xfId="0" applyFont="1" applyFill="1" applyAlignment="1">
      <alignment horizontal="center" vertical="center" wrapText="1"/>
    </xf>
    <xf numFmtId="1" fontId="3" fillId="11" borderId="3" xfId="0" applyNumberFormat="1" applyFont="1" applyFill="1" applyBorder="1" applyAlignment="1">
      <alignment horizontal="center" vertical="center"/>
    </xf>
    <xf numFmtId="1" fontId="3" fillId="11" borderId="2" xfId="0" applyNumberFormat="1" applyFont="1" applyFill="1" applyBorder="1" applyAlignment="1">
      <alignment horizontal="center" vertical="center"/>
    </xf>
    <xf numFmtId="0" fontId="8" fillId="6" borderId="0" xfId="1" applyFont="1" applyFill="1" applyAlignment="1">
      <alignment horizontal="center" vertical="center"/>
    </xf>
    <xf numFmtId="0" fontId="8" fillId="6" borderId="0" xfId="1" applyFont="1" applyFill="1" applyAlignment="1">
      <alignment horizontal="center"/>
    </xf>
    <xf numFmtId="0" fontId="7" fillId="6" borderId="0" xfId="0" applyFont="1" applyFill="1" applyAlignment="1">
      <alignment horizontal="center"/>
    </xf>
    <xf numFmtId="0" fontId="4" fillId="2" borderId="0" xfId="1" applyFont="1" applyFill="1" applyAlignment="1">
      <alignment horizontal="center" vertical="center"/>
    </xf>
    <xf numFmtId="0" fontId="13" fillId="0" borderId="6"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5"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31" fillId="16" borderId="0" xfId="0" applyFont="1" applyFill="1" applyAlignment="1">
      <alignment horizontal="center"/>
    </xf>
    <xf numFmtId="0" fontId="15" fillId="0" borderId="0" xfId="0" applyFont="1" applyAlignment="1">
      <alignment vertical="center"/>
    </xf>
    <xf numFmtId="165" fontId="7" fillId="0" borderId="0" xfId="0" applyNumberFormat="1" applyFont="1" applyBorder="1" applyAlignment="1">
      <alignment horizontal="center" vertical="center"/>
    </xf>
    <xf numFmtId="0" fontId="7" fillId="0" borderId="0" xfId="0" applyFont="1" applyBorder="1" applyAlignment="1">
      <alignment horizontal="center" vertical="center" wrapText="1"/>
    </xf>
    <xf numFmtId="2" fontId="7" fillId="0" borderId="0" xfId="0" applyNumberFormat="1" applyFont="1" applyBorder="1" applyAlignment="1">
      <alignment horizontal="center" vertical="center"/>
    </xf>
    <xf numFmtId="2" fontId="6" fillId="0" borderId="0" xfId="0" applyNumberFormat="1" applyFont="1" applyBorder="1" applyAlignment="1">
      <alignment horizontal="center" vertical="center"/>
    </xf>
    <xf numFmtId="0" fontId="6" fillId="0" borderId="0" xfId="0" applyFont="1" applyAlignment="1">
      <alignment horizontal="left" vertical="center" wrapText="1" indent="2"/>
    </xf>
    <xf numFmtId="0" fontId="6" fillId="0" borderId="0" xfId="0" applyFont="1" applyAlignment="1">
      <alignment horizontal="left" vertical="center" indent="2"/>
    </xf>
  </cellXfs>
  <cellStyles count="3">
    <cellStyle name="Normal" xfId="0" builtinId="0"/>
    <cellStyle name="Normal 2" xfId="1" xr:uid="{FDBB1013-703E-404E-8139-ACE79858FF74}"/>
    <cellStyle name="Normal 3" xfId="2" xr:uid="{EF85A7AD-71A8-4A54-A407-F898FC3CC471}"/>
  </cellStyles>
  <dxfs count="0"/>
  <tableStyles count="0" defaultTableStyle="TableStyleMedium2" defaultPivotStyle="PivotStyleLight16"/>
  <colors>
    <mruColors>
      <color rgb="FFFFFFCC"/>
      <color rgb="FFF9F5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'TGF, TBR y TNR'!$K$34</c:f>
              <c:strCache>
                <c:ptCount val="1"/>
                <c:pt idx="0">
                  <c:v>Coahuila 2010</c:v>
                </c:pt>
              </c:strCache>
            </c:strRef>
          </c:tx>
          <c:spPr>
            <a:solidFill>
              <a:schemeClr val="accent6"/>
            </a:solidFill>
            <a:ln>
              <a:noFill/>
            </a:ln>
            <a:effectLst/>
          </c:spPr>
          <c:invertIfNegative val="0"/>
          <c:cat>
            <c:strRef>
              <c:f>'TGF, TBR y TNR'!$J$35:$J$36</c:f>
              <c:strCache>
                <c:ptCount val="2"/>
                <c:pt idx="0">
                  <c:v>TBR</c:v>
                </c:pt>
                <c:pt idx="1">
                  <c:v>TNR</c:v>
                </c:pt>
              </c:strCache>
            </c:strRef>
          </c:cat>
          <c:val>
            <c:numRef>
              <c:f>'TGF, TBR y TNR'!$K$35:$K$36</c:f>
              <c:numCache>
                <c:formatCode>0.00</c:formatCode>
                <c:ptCount val="2"/>
                <c:pt idx="0" formatCode="0.0000">
                  <c:v>1.1772661463127878</c:v>
                </c:pt>
                <c:pt idx="1">
                  <c:v>1.1772661463127878</c:v>
                </c:pt>
              </c:numCache>
            </c:numRef>
          </c:val>
          <c:extLst>
            <c:ext xmlns:c16="http://schemas.microsoft.com/office/drawing/2014/chart" uri="{C3380CC4-5D6E-409C-BE32-E72D297353CC}">
              <c16:uniqueId val="{00000000-7072-41D9-AD60-8B7FCECC2A62}"/>
            </c:ext>
          </c:extLst>
        </c:ser>
        <c:ser>
          <c:idx val="1"/>
          <c:order val="1"/>
          <c:tx>
            <c:strRef>
              <c:f>'TGF, TBR y TNR'!$L$34</c:f>
              <c:strCache>
                <c:ptCount val="1"/>
                <c:pt idx="0">
                  <c:v>Coahuila 2019</c:v>
                </c:pt>
              </c:strCache>
            </c:strRef>
          </c:tx>
          <c:spPr>
            <a:solidFill>
              <a:schemeClr val="accent5"/>
            </a:solidFill>
            <a:ln>
              <a:noFill/>
            </a:ln>
            <a:effectLst/>
          </c:spPr>
          <c:invertIfNegative val="0"/>
          <c:cat>
            <c:strRef>
              <c:f>'TGF, TBR y TNR'!$J$35:$J$36</c:f>
              <c:strCache>
                <c:ptCount val="2"/>
                <c:pt idx="0">
                  <c:v>TBR</c:v>
                </c:pt>
                <c:pt idx="1">
                  <c:v>TNR</c:v>
                </c:pt>
              </c:strCache>
            </c:strRef>
          </c:cat>
          <c:val>
            <c:numRef>
              <c:f>'TGF, TBR y TNR'!$L$35:$L$36</c:f>
              <c:numCache>
                <c:formatCode>0.00</c:formatCode>
                <c:ptCount val="2"/>
                <c:pt idx="0" formatCode="General">
                  <c:v>0.84289124821945305</c:v>
                </c:pt>
                <c:pt idx="1">
                  <c:v>0.82607105609899034</c:v>
                </c:pt>
              </c:numCache>
            </c:numRef>
          </c:val>
          <c:extLst>
            <c:ext xmlns:c16="http://schemas.microsoft.com/office/drawing/2014/chart" uri="{C3380CC4-5D6E-409C-BE32-E72D297353CC}">
              <c16:uniqueId val="{00000001-7072-41D9-AD60-8B7FCECC2A62}"/>
            </c:ext>
          </c:extLst>
        </c:ser>
        <c:dLbls>
          <c:showLegendKey val="0"/>
          <c:showVal val="0"/>
          <c:showCatName val="0"/>
          <c:showSerName val="0"/>
          <c:showPercent val="0"/>
          <c:showBubbleSize val="0"/>
        </c:dLbls>
        <c:gapWidth val="219"/>
        <c:overlap val="-27"/>
        <c:axId val="413053520"/>
        <c:axId val="413051120"/>
      </c:barChart>
      <c:catAx>
        <c:axId val="4130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13051120"/>
        <c:crosses val="autoZero"/>
        <c:auto val="1"/>
        <c:lblAlgn val="ctr"/>
        <c:lblOffset val="100"/>
        <c:noMultiLvlLbl val="0"/>
      </c:catAx>
      <c:valAx>
        <c:axId val="41305112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1305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v>Coahuila 2010</c:v>
          </c:tx>
          <c:spPr>
            <a:ln w="28575" cap="rnd">
              <a:solidFill>
                <a:schemeClr val="accent6"/>
              </a:solidFill>
              <a:round/>
            </a:ln>
            <a:effectLst/>
          </c:spPr>
          <c:marker>
            <c:symbol val="none"/>
          </c:marker>
          <c:cat>
            <c:strRef>
              <c:f>'TGF, TBR y TNR'!$A$4:$A$10</c:f>
              <c:strCache>
                <c:ptCount val="7"/>
                <c:pt idx="0">
                  <c:v>15-19</c:v>
                </c:pt>
                <c:pt idx="1">
                  <c:v>20-24</c:v>
                </c:pt>
                <c:pt idx="2">
                  <c:v>25-29</c:v>
                </c:pt>
                <c:pt idx="3">
                  <c:v>30-34</c:v>
                </c:pt>
                <c:pt idx="4">
                  <c:v>35-39</c:v>
                </c:pt>
                <c:pt idx="5">
                  <c:v>40-44</c:v>
                </c:pt>
                <c:pt idx="6">
                  <c:v>45-49</c:v>
                </c:pt>
              </c:strCache>
            </c:strRef>
          </c:cat>
          <c:val>
            <c:numRef>
              <c:f>'TGF, TBR y TNR'!$G$4:$G$10</c:f>
              <c:numCache>
                <c:formatCode>0.0000</c:formatCode>
                <c:ptCount val="7"/>
                <c:pt idx="0">
                  <c:v>9.2213941513818246E-2</c:v>
                </c:pt>
                <c:pt idx="1">
                  <c:v>0.14203517240915398</c:v>
                </c:pt>
                <c:pt idx="2">
                  <c:v>0.13121945851413544</c:v>
                </c:pt>
                <c:pt idx="3">
                  <c:v>8.390616178860992E-2</c:v>
                </c:pt>
                <c:pt idx="4">
                  <c:v>3.5180125952352773E-2</c:v>
                </c:pt>
                <c:pt idx="5">
                  <c:v>7.9945990786101286E-3</c:v>
                </c:pt>
                <c:pt idx="6">
                  <c:v>5.9883761115285224E-4</c:v>
                </c:pt>
              </c:numCache>
            </c:numRef>
          </c:val>
          <c:smooth val="0"/>
          <c:extLst>
            <c:ext xmlns:c16="http://schemas.microsoft.com/office/drawing/2014/chart" uri="{C3380CC4-5D6E-409C-BE32-E72D297353CC}">
              <c16:uniqueId val="{00000000-E17E-4160-9A15-8EDCB50CEDA8}"/>
            </c:ext>
          </c:extLst>
        </c:ser>
        <c:ser>
          <c:idx val="1"/>
          <c:order val="1"/>
          <c:tx>
            <c:v>Coahuila 2019</c:v>
          </c:tx>
          <c:spPr>
            <a:ln w="28575" cap="rnd">
              <a:solidFill>
                <a:schemeClr val="accent5"/>
              </a:solidFill>
              <a:round/>
            </a:ln>
            <a:effectLst/>
          </c:spPr>
          <c:marker>
            <c:symbol val="none"/>
          </c:marker>
          <c:cat>
            <c:strRef>
              <c:f>'TGF, TBR y TNR'!$A$4:$A$10</c:f>
              <c:strCache>
                <c:ptCount val="7"/>
                <c:pt idx="0">
                  <c:v>15-19</c:v>
                </c:pt>
                <c:pt idx="1">
                  <c:v>20-24</c:v>
                </c:pt>
                <c:pt idx="2">
                  <c:v>25-29</c:v>
                </c:pt>
                <c:pt idx="3">
                  <c:v>30-34</c:v>
                </c:pt>
                <c:pt idx="4">
                  <c:v>35-39</c:v>
                </c:pt>
                <c:pt idx="5">
                  <c:v>40-44</c:v>
                </c:pt>
                <c:pt idx="6">
                  <c:v>45-49</c:v>
                </c:pt>
              </c:strCache>
            </c:strRef>
          </c:cat>
          <c:val>
            <c:numRef>
              <c:f>'TGF, TBR y TNR'!$G$21:$G$27</c:f>
              <c:numCache>
                <c:formatCode>0.0000</c:formatCode>
                <c:ptCount val="7"/>
                <c:pt idx="0">
                  <c:v>5.9049295520622165E-2</c:v>
                </c:pt>
                <c:pt idx="1">
                  <c:v>9.6852549002340957E-2</c:v>
                </c:pt>
                <c:pt idx="2">
                  <c:v>9.0256489255179845E-2</c:v>
                </c:pt>
                <c:pt idx="3">
                  <c:v>6.2108839482625022E-2</c:v>
                </c:pt>
                <c:pt idx="4">
                  <c:v>3.0053999018199669E-2</c:v>
                </c:pt>
                <c:pt idx="5">
                  <c:v>6.8509024835680318E-3</c:v>
                </c:pt>
                <c:pt idx="6">
                  <c:v>4.1333700744006614E-4</c:v>
                </c:pt>
              </c:numCache>
            </c:numRef>
          </c:val>
          <c:smooth val="0"/>
          <c:extLst>
            <c:ext xmlns:c16="http://schemas.microsoft.com/office/drawing/2014/chart" uri="{C3380CC4-5D6E-409C-BE32-E72D297353CC}">
              <c16:uniqueId val="{00000001-E17E-4160-9A15-8EDCB50CEDA8}"/>
            </c:ext>
          </c:extLst>
        </c:ser>
        <c:dLbls>
          <c:showLegendKey val="0"/>
          <c:showVal val="0"/>
          <c:showCatName val="0"/>
          <c:showSerName val="0"/>
          <c:showPercent val="0"/>
          <c:showBubbleSize val="0"/>
        </c:dLbls>
        <c:smooth val="0"/>
        <c:axId val="413018480"/>
        <c:axId val="413018960"/>
      </c:lineChart>
      <c:catAx>
        <c:axId val="41301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13018960"/>
        <c:crosses val="autoZero"/>
        <c:auto val="1"/>
        <c:lblAlgn val="ctr"/>
        <c:lblOffset val="100"/>
        <c:noMultiLvlLbl val="0"/>
      </c:catAx>
      <c:valAx>
        <c:axId val="41301896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1301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301625</xdr:colOff>
      <xdr:row>2</xdr:row>
      <xdr:rowOff>12700</xdr:rowOff>
    </xdr:from>
    <xdr:ext cx="174791" cy="17536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445625" y="3810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𝑒</m:t>
                        </m:r>
                      </m:e>
                      <m:sub>
                        <m:r>
                          <a:rPr lang="en-US" sz="1100" b="0" i="1">
                            <a:latin typeface="Cambria Math" panose="02040503050406030204" pitchFamily="18" charset="0"/>
                          </a:rPr>
                          <m:t>𝑥</m:t>
                        </m:r>
                      </m:sub>
                      <m:sup>
                        <m:r>
                          <a:rPr lang="en-US" sz="1100" b="0" i="1">
                            <a:latin typeface="Cambria Math" panose="02040503050406030204" pitchFamily="18" charset="0"/>
                          </a:rPr>
                          <m:t>0</m:t>
                        </m:r>
                      </m:sup>
                    </m:sSubSup>
                  </m:oMath>
                </m:oMathPara>
              </a14:m>
              <a:endParaRPr lang="en-US" sz="1100"/>
            </a:p>
          </xdr:txBody>
        </xdr:sp>
      </mc:Choice>
      <mc:Fallback xmlns="">
        <xdr:sp macro="" textlink="">
          <xdr:nvSpPr>
            <xdr:cNvPr id="2" name="TextBox 1">
              <a:extLst>
                <a:ext uri="{FF2B5EF4-FFF2-40B4-BE49-F238E27FC236}">
                  <a16:creationId xmlns:a16="http://schemas.microsoft.com/office/drawing/2014/main" id="{1E08294E-7B9E-4322-BE7E-5F68E590D486}"/>
                </a:ext>
              </a:extLst>
            </xdr:cNvPr>
            <xdr:cNvSpPr txBox="1"/>
          </xdr:nvSpPr>
          <xdr:spPr>
            <a:xfrm>
              <a:off x="9445625" y="3810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𝑒_𝑥^0</a:t>
              </a:r>
              <a:endParaRPr lang="en-US" sz="1100"/>
            </a:p>
          </xdr:txBody>
        </xdr:sp>
      </mc:Fallback>
    </mc:AlternateContent>
    <xdr:clientData/>
  </xdr:oneCellAnchor>
  <xdr:oneCellAnchor>
    <xdr:from>
      <xdr:col>12</xdr:col>
      <xdr:colOff>301625</xdr:colOff>
      <xdr:row>29</xdr:row>
      <xdr:rowOff>12700</xdr:rowOff>
    </xdr:from>
    <xdr:ext cx="174791" cy="175369"/>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00000000-0008-0000-0200-000003000000}"/>
                </a:ext>
              </a:extLst>
            </xdr:cNvPr>
            <xdr:cNvSpPr txBox="1"/>
          </xdr:nvSpPr>
          <xdr:spPr>
            <a:xfrm>
              <a:off x="9445625" y="3810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𝑒</m:t>
                        </m:r>
                      </m:e>
                      <m:sub>
                        <m:r>
                          <a:rPr lang="en-US" sz="1100" b="0" i="1">
                            <a:latin typeface="Cambria Math" panose="02040503050406030204" pitchFamily="18" charset="0"/>
                          </a:rPr>
                          <m:t>𝑥</m:t>
                        </m:r>
                      </m:sub>
                      <m:sup>
                        <m:r>
                          <a:rPr lang="en-US" sz="1100" b="0" i="1">
                            <a:latin typeface="Cambria Math" panose="02040503050406030204" pitchFamily="18" charset="0"/>
                          </a:rPr>
                          <m:t>0</m:t>
                        </m:r>
                      </m:sup>
                    </m:sSubSup>
                  </m:oMath>
                </m:oMathPara>
              </a14:m>
              <a:endParaRPr lang="en-US" sz="1100"/>
            </a:p>
          </xdr:txBody>
        </xdr:sp>
      </mc:Choice>
      <mc:Fallback xmlns="">
        <xdr:sp macro="" textlink="">
          <xdr:nvSpPr>
            <xdr:cNvPr id="3" name="TextBox 1">
              <a:extLst>
                <a:ext uri="{FF2B5EF4-FFF2-40B4-BE49-F238E27FC236}">
                  <a16:creationId xmlns:a16="http://schemas.microsoft.com/office/drawing/2014/main" id="{93E5B7D4-AE99-40FA-B2A5-65A8A2ED6309}"/>
                </a:ext>
              </a:extLst>
            </xdr:cNvPr>
            <xdr:cNvSpPr txBox="1"/>
          </xdr:nvSpPr>
          <xdr:spPr>
            <a:xfrm>
              <a:off x="9445625" y="381000"/>
              <a:ext cx="174791"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𝑒_𝑥^0</a:t>
              </a:r>
              <a:endParaRPr lang="en-US"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4</xdr:col>
      <xdr:colOff>361950</xdr:colOff>
      <xdr:row>8</xdr:row>
      <xdr:rowOff>57150</xdr:rowOff>
    </xdr:from>
    <xdr:ext cx="1241045" cy="3634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867150" y="1536700"/>
              <a:ext cx="1241045" cy="363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𝑃𝑀𝐸𝐹</m:t>
                            </m:r>
                          </m:e>
                          <m:sup>
                            <m:r>
                              <a:rPr lang="en-US" sz="1100" b="0" i="1">
                                <a:solidFill>
                                  <a:schemeClr val="tx1"/>
                                </a:solidFill>
                                <a:effectLst/>
                                <a:latin typeface="Cambria Math" panose="02040503050406030204" pitchFamily="18" charset="0"/>
                                <a:ea typeface="+mn-ea"/>
                                <a:cs typeface="+mn-cs"/>
                              </a:rPr>
                              <m:t>𝑧</m:t>
                            </m:r>
                          </m:sup>
                        </m:sSup>
                      </m:e>
                    </m:acc>
                    <m:r>
                      <a:rPr lang="en-US" sz="1100" b="0" i="1">
                        <a:latin typeface="Cambria Math" panose="02040503050406030204" pitchFamily="18" charset="0"/>
                      </a:rPr>
                      <m:t>=</m:t>
                    </m:r>
                    <m:f>
                      <m:fPr>
                        <m:ctrlPr>
                          <a:rPr lang="en-US" sz="1100" b="0" i="1">
                            <a:latin typeface="Cambria Math" panose="02040503050406030204" pitchFamily="18" charset="0"/>
                          </a:rPr>
                        </m:ctrlPr>
                      </m:fPr>
                      <m:num>
                        <m:sSubSup>
                          <m:sSubSupPr>
                            <m:ctrlPr>
                              <a:rPr lang="en-US" sz="1100" b="0" i="1">
                                <a:latin typeface="Cambria Math" panose="02040503050406030204" pitchFamily="18" charset="0"/>
                              </a:rPr>
                            </m:ctrlPr>
                          </m:sSubSup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𝑁𝐹</m:t>
                                </m:r>
                              </m:e>
                            </m:acc>
                          </m:e>
                          <m:sub>
                            <m:r>
                              <a:rPr lang="en-US" sz="1100" b="0" i="1">
                                <a:latin typeface="Cambria Math" panose="02040503050406030204" pitchFamily="18" charset="0"/>
                              </a:rPr>
                              <m:t>(15−49)</m:t>
                            </m:r>
                          </m:sub>
                          <m:sup>
                            <m:r>
                              <a:rPr lang="en-US" sz="1100" b="0" i="1">
                                <a:latin typeface="Cambria Math" panose="02040503050406030204" pitchFamily="18" charset="0"/>
                              </a:rPr>
                              <m:t>𝑍</m:t>
                            </m:r>
                          </m:sup>
                        </m:sSubSup>
                      </m:num>
                      <m:den>
                        <m:sSup>
                          <m:sSupPr>
                            <m:ctrlPr>
                              <a:rPr lang="en-US" sz="1100" b="0" i="1">
                                <a:latin typeface="Cambria Math" panose="02040503050406030204" pitchFamily="18" charset="0"/>
                              </a:rPr>
                            </m:ctrlPr>
                          </m:sSupPr>
                          <m:e>
                            <m:acc>
                              <m:accPr>
                                <m:chr m:val="̅"/>
                                <m:ctrlPr>
                                  <a:rPr lang="en-US" sz="1100" b="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mn-ea"/>
                                    <a:cs typeface="+mn-cs"/>
                                  </a:rPr>
                                  <m:t>𝑁𝐹</m:t>
                                </m:r>
                              </m:e>
                            </m:acc>
                          </m:e>
                          <m:sup>
                            <m:r>
                              <a:rPr lang="en-US" sz="1100" b="0" i="1">
                                <a:latin typeface="Cambria Math" panose="02040503050406030204" pitchFamily="18" charset="0"/>
                              </a:rPr>
                              <m:t>𝑍</m:t>
                            </m:r>
                          </m:sup>
                        </m:sSup>
                      </m:den>
                    </m:f>
                  </m:oMath>
                </m:oMathPara>
              </a14:m>
              <a:endParaRPr lang="pt-BR" sz="1100"/>
            </a:p>
          </xdr:txBody>
        </xdr:sp>
      </mc:Choice>
      <mc:Fallback xmlns="">
        <xdr:sp macro="" textlink="">
          <xdr:nvSpPr>
            <xdr:cNvPr id="2" name="TextBox 1">
              <a:extLst>
                <a:ext uri="{FF2B5EF4-FFF2-40B4-BE49-F238E27FC236}">
                  <a16:creationId xmlns:a16="http://schemas.microsoft.com/office/drawing/2014/main" id="{1E2DB0A2-AF5C-4E55-B19E-0BA312C888F9}"/>
                </a:ext>
              </a:extLst>
            </xdr:cNvPr>
            <xdr:cNvSpPr txBox="1"/>
          </xdr:nvSpPr>
          <xdr:spPr>
            <a:xfrm>
              <a:off x="3867150" y="1536700"/>
              <a:ext cx="1241045" cy="363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〖𝑃𝑀𝐸𝐹〗^𝑧 ) ̅</a:t>
              </a:r>
              <a:r>
                <a:rPr lang="en-US" sz="1100" b="0" i="0">
                  <a:latin typeface="Cambria Math" panose="02040503050406030204" pitchFamily="18" charset="0"/>
                </a:rPr>
                <a:t>=((𝑁𝐹) ̅_((15−49))^𝑍)/</a:t>
              </a:r>
              <a:r>
                <a:rPr lang="en-US" sz="1100" b="0" i="0">
                  <a:solidFill>
                    <a:schemeClr val="tx1"/>
                  </a:solidFill>
                  <a:effectLst/>
                  <a:latin typeface="Cambria Math" panose="02040503050406030204" pitchFamily="18" charset="0"/>
                  <a:ea typeface="+mn-ea"/>
                  <a:cs typeface="+mn-cs"/>
                </a:rPr>
                <a:t>(𝑁𝐹) ̅^</a:t>
              </a:r>
              <a:r>
                <a:rPr lang="en-US" sz="1100" b="0" i="0">
                  <a:latin typeface="Cambria Math" panose="02040503050406030204" pitchFamily="18" charset="0"/>
                </a:rPr>
                <a:t>𝑍 </a:t>
              </a:r>
              <a:endParaRPr lang="pt-BR" sz="1100"/>
            </a:p>
          </xdr:txBody>
        </xdr:sp>
      </mc:Fallback>
    </mc:AlternateContent>
    <xdr:clientData/>
  </xdr:oneCellAnchor>
  <xdr:oneCellAnchor>
    <xdr:from>
      <xdr:col>4</xdr:col>
      <xdr:colOff>304800</xdr:colOff>
      <xdr:row>13</xdr:row>
      <xdr:rowOff>38100</xdr:rowOff>
    </xdr:from>
    <xdr:ext cx="1466850" cy="59075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3810000" y="2628900"/>
              <a:ext cx="1466850" cy="590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𝑇𝐹𝐺</m:t>
                        </m:r>
                      </m:e>
                      <m:sup>
                        <m:r>
                          <a:rPr lang="en-US" sz="1100" b="0" i="1">
                            <a:latin typeface="Cambria Math" panose="02040503050406030204" pitchFamily="18" charset="0"/>
                          </a:rPr>
                          <m:t>𝑍</m:t>
                        </m:r>
                      </m:sup>
                    </m:sSup>
                    <m:r>
                      <a:rPr lang="en-US" sz="1100" b="0" i="1">
                        <a:latin typeface="Cambria Math" panose="02040503050406030204" pitchFamily="18" charset="0"/>
                      </a:rPr>
                      <m:t>=</m:t>
                    </m:r>
                    <m:d>
                      <m:dPr>
                        <m:ctrlPr>
                          <a:rPr lang="en-US" sz="1100" b="0" i="1">
                            <a:latin typeface="Cambria Math" panose="02040503050406030204" pitchFamily="18" charset="0"/>
                          </a:rPr>
                        </m:ctrlPr>
                      </m:dPr>
                      <m:e>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s-MX" sz="1100" b="0" i="1">
                                    <a:solidFill>
                                      <a:schemeClr val="tx1"/>
                                    </a:solidFill>
                                    <a:effectLst/>
                                    <a:latin typeface="Cambria Math" panose="02040503050406030204" pitchFamily="18" charset="0"/>
                                    <a:ea typeface="+mn-ea"/>
                                    <a:cs typeface="+mn-cs"/>
                                  </a:rPr>
                                  <m:t>𝐵</m:t>
                                </m:r>
                              </m:e>
                              <m:sup>
                                <m:r>
                                  <a:rPr lang="en-US" sz="1100" b="0" i="1">
                                    <a:solidFill>
                                      <a:schemeClr val="tx1"/>
                                    </a:solidFill>
                                    <a:effectLst/>
                                    <a:latin typeface="Cambria Math" panose="02040503050406030204" pitchFamily="18" charset="0"/>
                                    <a:ea typeface="+mn-ea"/>
                                    <a:cs typeface="+mn-cs"/>
                                  </a:rPr>
                                  <m:t>𝑍</m:t>
                                </m:r>
                              </m:sup>
                            </m:sSup>
                          </m:num>
                          <m:den>
                            <m:sSup>
                              <m:sSupPr>
                                <m:ctrlPr>
                                  <a:rPr lang="en-US" sz="1100" b="0" i="1">
                                    <a:solidFill>
                                      <a:schemeClr val="tx1"/>
                                    </a:solidFill>
                                    <a:effectLst/>
                                    <a:latin typeface="Cambria Math" panose="02040503050406030204" pitchFamily="18" charset="0"/>
                                    <a:ea typeface="+mn-ea"/>
                                    <a:cs typeface="+mn-cs"/>
                                  </a:rPr>
                                </m:ctrlPr>
                              </m:sSupPr>
                              <m:e>
                                <m:r>
                                  <a:rPr lang="es-MX" sz="1100" b="0" i="1">
                                    <a:solidFill>
                                      <a:schemeClr val="tx1"/>
                                    </a:solidFill>
                                    <a:effectLst/>
                                    <a:latin typeface="Cambria Math" panose="02040503050406030204" pitchFamily="18" charset="0"/>
                                    <a:ea typeface="+mn-ea"/>
                                    <a:cs typeface="+mn-cs"/>
                                  </a:rPr>
                                  <m:t>𝑀𝐸𝐹</m:t>
                                </m:r>
                              </m:e>
                              <m:sup>
                                <m:r>
                                  <a:rPr lang="es-MX" sz="1100" b="0" i="1">
                                    <a:solidFill>
                                      <a:schemeClr val="tx1"/>
                                    </a:solidFill>
                                    <a:effectLst/>
                                    <a:latin typeface="Cambria Math" panose="02040503050406030204" pitchFamily="18" charset="0"/>
                                    <a:ea typeface="+mn-ea"/>
                                    <a:cs typeface="+mn-cs"/>
                                  </a:rPr>
                                  <m:t>30−06−</m:t>
                                </m:r>
                                <m:r>
                                  <a:rPr lang="es-MX" sz="1100" b="0" i="1">
                                    <a:solidFill>
                                      <a:schemeClr val="tx1"/>
                                    </a:solidFill>
                                    <a:effectLst/>
                                    <a:latin typeface="Cambria Math" panose="02040503050406030204" pitchFamily="18" charset="0"/>
                                    <a:ea typeface="+mn-ea"/>
                                    <a:cs typeface="+mn-cs"/>
                                  </a:rPr>
                                  <m:t>𝑧</m:t>
                                </m:r>
                              </m:sup>
                            </m:sSup>
                          </m:den>
                        </m:f>
                      </m:e>
                    </m:d>
                  </m:oMath>
                </m:oMathPara>
              </a14:m>
              <a:endParaRPr lang="pt-BR" sz="1100"/>
            </a:p>
          </xdr:txBody>
        </xdr:sp>
      </mc:Choice>
      <mc:Fallback xmlns="">
        <xdr:sp macro="" textlink="">
          <xdr:nvSpPr>
            <xdr:cNvPr id="3" name="TextBox 2">
              <a:extLst>
                <a:ext uri="{FF2B5EF4-FFF2-40B4-BE49-F238E27FC236}">
                  <a16:creationId xmlns:a16="http://schemas.microsoft.com/office/drawing/2014/main" id="{C529CE9F-0C73-45A0-86C6-5E86915AF644}"/>
                </a:ext>
              </a:extLst>
            </xdr:cNvPr>
            <xdr:cNvSpPr txBox="1"/>
          </xdr:nvSpPr>
          <xdr:spPr>
            <a:xfrm>
              <a:off x="3810000" y="2628900"/>
              <a:ext cx="1466850" cy="590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latin typeface="Cambria Math" panose="02040503050406030204" pitchFamily="18" charset="0"/>
                </a:rPr>
                <a:t>〖𝑇𝐹𝐺〗^𝑍=(</a:t>
              </a:r>
              <a:r>
                <a:rPr lang="es-MX" sz="1100" b="0" i="0">
                  <a:solidFill>
                    <a:schemeClr val="tx1"/>
                  </a:solidFill>
                  <a:effectLst/>
                  <a:latin typeface="Cambria Math" panose="02040503050406030204" pitchFamily="18" charset="0"/>
                  <a:ea typeface="+mn-ea"/>
                  <a:cs typeface="+mn-cs"/>
                </a:rPr>
                <a:t>𝐵</a:t>
              </a:r>
              <a:r>
                <a:rPr lang="en-US" sz="1100" b="0" i="0">
                  <a:solidFill>
                    <a:schemeClr val="tx1"/>
                  </a:solidFill>
                  <a:effectLst/>
                  <a:latin typeface="Cambria Math" panose="02040503050406030204" pitchFamily="18" charset="0"/>
                  <a:ea typeface="+mn-ea"/>
                  <a:cs typeface="+mn-cs"/>
                </a:rPr>
                <a:t>^𝑍/〖</a:t>
              </a:r>
              <a:r>
                <a:rPr lang="es-MX" sz="1100" b="0" i="0">
                  <a:solidFill>
                    <a:schemeClr val="tx1"/>
                  </a:solidFill>
                  <a:effectLst/>
                  <a:latin typeface="Cambria Math" panose="02040503050406030204" pitchFamily="18" charset="0"/>
                  <a:ea typeface="+mn-ea"/>
                  <a:cs typeface="+mn-cs"/>
                </a:rPr>
                <a:t>𝑀𝐸𝐹</a:t>
              </a:r>
              <a:r>
                <a:rPr lang="en-US" sz="1100" b="0" i="0">
                  <a:solidFill>
                    <a:schemeClr val="tx1"/>
                  </a:solidFill>
                  <a:effectLst/>
                  <a:latin typeface="Cambria Math" panose="02040503050406030204" pitchFamily="18" charset="0"/>
                  <a:ea typeface="+mn-ea"/>
                  <a:cs typeface="+mn-cs"/>
                </a:rPr>
                <a:t>〗^(</a:t>
              </a:r>
              <a:r>
                <a:rPr lang="es-MX" sz="1100" b="0" i="0">
                  <a:solidFill>
                    <a:schemeClr val="tx1"/>
                  </a:solidFill>
                  <a:effectLst/>
                  <a:latin typeface="Cambria Math" panose="02040503050406030204" pitchFamily="18" charset="0"/>
                  <a:ea typeface="+mn-ea"/>
                  <a:cs typeface="+mn-cs"/>
                </a:rPr>
                <a:t>30−06−𝑧</a:t>
              </a:r>
              <a:r>
                <a:rPr lang="en-US" sz="1100" b="0" i="0">
                  <a:solidFill>
                    <a:schemeClr val="tx1"/>
                  </a:solidFill>
                  <a:effectLst/>
                  <a:latin typeface="Cambria Math" panose="02040503050406030204" pitchFamily="18" charset="0"/>
                  <a:ea typeface="+mn-ea"/>
                  <a:cs typeface="+mn-cs"/>
                </a:rPr>
                <a:t>)</a:t>
              </a:r>
              <a:r>
                <a:rPr lang="es-MX" sz="1100" b="0" i="0">
                  <a:solidFill>
                    <a:schemeClr val="tx1"/>
                  </a:solidFill>
                  <a:effectLst/>
                  <a:latin typeface="Cambria Math" panose="02040503050406030204" pitchFamily="18" charset="0"/>
                  <a:ea typeface="+mn-ea"/>
                  <a:cs typeface="+mn-cs"/>
                </a:rPr>
                <a:t> )</a:t>
              </a:r>
              <a:endParaRPr lang="pt-BR" sz="1100"/>
            </a:p>
          </xdr:txBody>
        </xdr:sp>
      </mc:Fallback>
    </mc:AlternateContent>
    <xdr:clientData/>
  </xdr:oneCellAnchor>
  <xdr:oneCellAnchor>
    <xdr:from>
      <xdr:col>8</xdr:col>
      <xdr:colOff>142875</xdr:colOff>
      <xdr:row>13</xdr:row>
      <xdr:rowOff>152400</xdr:rowOff>
    </xdr:from>
    <xdr:ext cx="1008033" cy="34310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899275" y="2743200"/>
              <a:ext cx="1008033" cy="3431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𝑇𝐹𝐺</m:t>
                        </m:r>
                      </m:e>
                      <m:sup>
                        <m:r>
                          <a:rPr lang="en-US" sz="1100" b="0" i="1">
                            <a:latin typeface="Cambria Math" panose="02040503050406030204" pitchFamily="18" charset="0"/>
                          </a:rPr>
                          <m:t>𝑍</m:t>
                        </m:r>
                      </m:sup>
                    </m:sSup>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𝑏</m:t>
                            </m:r>
                          </m:e>
                          <m:sup>
                            <m:r>
                              <a:rPr lang="en-US" sz="1100" b="0" i="1">
                                <a:latin typeface="Cambria Math" panose="02040503050406030204" pitchFamily="18" charset="0"/>
                              </a:rPr>
                              <m:t>𝑍</m:t>
                            </m:r>
                          </m:sup>
                        </m:sSup>
                      </m:num>
                      <m:den>
                        <m:acc>
                          <m:accPr>
                            <m:chr m:val="̅"/>
                            <m:ctrlPr>
                              <a:rPr lang="en-US" sz="1100" b="0" i="1">
                                <a:solidFill>
                                  <a:schemeClr val="tx1"/>
                                </a:solidFill>
                                <a:effectLst/>
                                <a:latin typeface="Cambria Math" panose="02040503050406030204" pitchFamily="18" charset="0"/>
                                <a:ea typeface="+mn-ea"/>
                                <a:cs typeface="+mn-cs"/>
                              </a:rPr>
                            </m:ctrlPr>
                          </m:accPr>
                          <m:e>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𝑃𝑀𝐸𝐹</m:t>
                                </m:r>
                              </m:e>
                              <m:sup>
                                <m:r>
                                  <a:rPr lang="en-US" sz="1100" b="0" i="1">
                                    <a:solidFill>
                                      <a:schemeClr val="tx1"/>
                                    </a:solidFill>
                                    <a:effectLst/>
                                    <a:latin typeface="Cambria Math" panose="02040503050406030204" pitchFamily="18" charset="0"/>
                                    <a:ea typeface="+mn-ea"/>
                                    <a:cs typeface="+mn-cs"/>
                                  </a:rPr>
                                  <m:t>𝑧</m:t>
                                </m:r>
                              </m:sup>
                            </m:sSup>
                          </m:e>
                        </m:acc>
                      </m:den>
                    </m:f>
                  </m:oMath>
                </m:oMathPara>
              </a14:m>
              <a:endParaRPr lang="pt-BR" sz="1100"/>
            </a:p>
          </xdr:txBody>
        </xdr:sp>
      </mc:Choice>
      <mc:Fallback xmlns="">
        <xdr:sp macro="" textlink="">
          <xdr:nvSpPr>
            <xdr:cNvPr id="4" name="TextBox 3">
              <a:extLst>
                <a:ext uri="{FF2B5EF4-FFF2-40B4-BE49-F238E27FC236}">
                  <a16:creationId xmlns:a16="http://schemas.microsoft.com/office/drawing/2014/main" id="{804C0E2B-2B95-4878-A43A-F1D3E9334BAE}"/>
                </a:ext>
              </a:extLst>
            </xdr:cNvPr>
            <xdr:cNvSpPr txBox="1"/>
          </xdr:nvSpPr>
          <xdr:spPr>
            <a:xfrm>
              <a:off x="6899275" y="2743200"/>
              <a:ext cx="1008033" cy="3431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〖𝑇𝐹𝐺〗^𝑍=𝑏^𝑍/</a:t>
              </a:r>
              <a:r>
                <a:rPr lang="en-US" sz="1100" b="0" i="0">
                  <a:solidFill>
                    <a:schemeClr val="tx1"/>
                  </a:solidFill>
                  <a:effectLst/>
                  <a:latin typeface="Cambria Math" panose="02040503050406030204" pitchFamily="18" charset="0"/>
                  <a:ea typeface="+mn-ea"/>
                  <a:cs typeface="+mn-cs"/>
                </a:rPr>
                <a:t>(〖𝑃𝑀𝐸𝐹〗^𝑧 ) ̅ </a:t>
              </a:r>
              <a:endParaRPr lang="pt-BR"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11</xdr:row>
          <xdr:rowOff>63500</xdr:rowOff>
        </xdr:from>
        <xdr:to>
          <xdr:col>4</xdr:col>
          <xdr:colOff>838200</xdr:colOff>
          <xdr:row>13</xdr:row>
          <xdr:rowOff>152400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13</xdr:col>
      <xdr:colOff>19137</xdr:colOff>
      <xdr:row>19</xdr:row>
      <xdr:rowOff>407271</xdr:rowOff>
    </xdr:from>
    <xdr:to>
      <xdr:col>18</xdr:col>
      <xdr:colOff>589767</xdr:colOff>
      <xdr:row>37</xdr:row>
      <xdr:rowOff>18964</xdr:rowOff>
    </xdr:to>
    <xdr:graphicFrame macro="">
      <xdr:nvGraphicFramePr>
        <xdr:cNvPr id="3" name="Gráfico 2">
          <a:extLst>
            <a:ext uri="{FF2B5EF4-FFF2-40B4-BE49-F238E27FC236}">
              <a16:creationId xmlns:a16="http://schemas.microsoft.com/office/drawing/2014/main" id="{DB38ECD8-AE4E-B757-724F-181313FBE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1740</xdr:colOff>
      <xdr:row>1</xdr:row>
      <xdr:rowOff>146311</xdr:rowOff>
    </xdr:from>
    <xdr:to>
      <xdr:col>18</xdr:col>
      <xdr:colOff>572370</xdr:colOff>
      <xdr:row>17</xdr:row>
      <xdr:rowOff>62456</xdr:rowOff>
    </xdr:to>
    <xdr:graphicFrame macro="">
      <xdr:nvGraphicFramePr>
        <xdr:cNvPr id="5" name="Gráfico 4">
          <a:extLst>
            <a:ext uri="{FF2B5EF4-FFF2-40B4-BE49-F238E27FC236}">
              <a16:creationId xmlns:a16="http://schemas.microsoft.com/office/drawing/2014/main" id="{375A6031-D0F7-ED0A-9804-F0EDBF8C3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FA8B-C382-488C-B2F3-B54B13EB9927}">
  <dimension ref="A1:X56"/>
  <sheetViews>
    <sheetView topLeftCell="A8" zoomScale="74" zoomScaleNormal="100" workbookViewId="0">
      <selection activeCell="R10" sqref="R10"/>
    </sheetView>
  </sheetViews>
  <sheetFormatPr baseColWidth="10" defaultRowHeight="14" x14ac:dyDescent="0.3"/>
  <cols>
    <col min="1" max="1" width="12.54296875" style="1" customWidth="1"/>
    <col min="2" max="5" width="10.90625" style="1"/>
    <col min="6" max="6" width="12.26953125" style="1" customWidth="1"/>
    <col min="7" max="13" width="10.90625" style="1"/>
    <col min="14" max="14" width="12.453125" style="1" customWidth="1"/>
    <col min="15" max="15" width="13.90625" style="1" customWidth="1"/>
    <col min="16" max="16384" width="10.90625" style="1"/>
  </cols>
  <sheetData>
    <row r="1" spans="1:24" ht="14.5" customHeight="1" x14ac:dyDescent="0.3">
      <c r="A1" s="155" t="s">
        <v>0</v>
      </c>
      <c r="B1" s="155"/>
      <c r="C1" s="155"/>
      <c r="D1" s="155"/>
      <c r="E1" s="155"/>
      <c r="F1" s="155"/>
      <c r="G1" s="155"/>
      <c r="H1" s="155"/>
      <c r="I1" s="155"/>
      <c r="J1" s="129"/>
      <c r="M1" s="149" t="s">
        <v>38</v>
      </c>
      <c r="N1" s="149"/>
      <c r="O1" s="149"/>
      <c r="P1" s="57"/>
      <c r="Q1" s="57"/>
      <c r="R1" s="57"/>
      <c r="S1" s="57"/>
    </row>
    <row r="2" spans="1:24" ht="14.5" customHeight="1" x14ac:dyDescent="0.3">
      <c r="A2" s="4" t="s">
        <v>1</v>
      </c>
      <c r="B2" s="5"/>
      <c r="C2" s="5"/>
      <c r="D2" s="6"/>
      <c r="E2" s="6"/>
      <c r="F2" s="6"/>
      <c r="G2" s="6"/>
      <c r="H2" s="6"/>
      <c r="I2" s="6"/>
      <c r="M2" s="149"/>
      <c r="N2" s="149"/>
      <c r="O2" s="149"/>
      <c r="P2" s="57"/>
      <c r="Q2" s="27"/>
      <c r="R2" s="27"/>
      <c r="S2" s="27"/>
    </row>
    <row r="3" spans="1:24" ht="14.5" customHeight="1" x14ac:dyDescent="0.3">
      <c r="A3" s="4" t="s">
        <v>2</v>
      </c>
      <c r="B3" s="5"/>
      <c r="C3" s="5"/>
      <c r="D3" s="6"/>
      <c r="E3" s="6"/>
      <c r="F3" s="6"/>
      <c r="G3" s="6"/>
      <c r="H3" s="6"/>
      <c r="I3" s="6"/>
      <c r="L3" s="28"/>
      <c r="M3" s="26"/>
      <c r="N3" s="26"/>
      <c r="O3" s="26"/>
      <c r="P3" s="26"/>
    </row>
    <row r="4" spans="1:24" ht="25" x14ac:dyDescent="0.3">
      <c r="B4" s="5"/>
      <c r="C4" s="5"/>
      <c r="D4" s="6"/>
      <c r="E4" s="6"/>
      <c r="F4" s="6"/>
      <c r="G4" s="6"/>
      <c r="H4" s="6"/>
      <c r="I4" s="6"/>
      <c r="L4" s="28"/>
      <c r="M4" s="47" t="s">
        <v>26</v>
      </c>
      <c r="N4" s="48" t="s">
        <v>29</v>
      </c>
      <c r="O4" s="47" t="s">
        <v>41</v>
      </c>
      <c r="P4" s="28"/>
      <c r="Q4" s="147" t="s">
        <v>44</v>
      </c>
      <c r="R4" s="147"/>
      <c r="S4" s="147"/>
    </row>
    <row r="5" spans="1:24" x14ac:dyDescent="0.3">
      <c r="A5" s="152" t="s">
        <v>26</v>
      </c>
      <c r="B5" s="153" t="s">
        <v>28</v>
      </c>
      <c r="C5" s="153"/>
      <c r="D5" s="153"/>
      <c r="E5" s="6"/>
      <c r="F5" s="152" t="s">
        <v>26</v>
      </c>
      <c r="G5" s="154" t="s">
        <v>29</v>
      </c>
      <c r="H5" s="154"/>
      <c r="I5" s="154"/>
      <c r="L5" s="28"/>
      <c r="M5" s="13" t="s">
        <v>12</v>
      </c>
      <c r="N5" s="109">
        <v>11909</v>
      </c>
      <c r="O5" s="105">
        <f>S18</f>
        <v>129145.33100415666</v>
      </c>
      <c r="P5" s="28"/>
      <c r="Q5" s="28"/>
      <c r="R5" s="28"/>
      <c r="S5" s="28"/>
    </row>
    <row r="6" spans="1:24" x14ac:dyDescent="0.3">
      <c r="A6" s="152"/>
      <c r="B6" s="7" t="s">
        <v>4</v>
      </c>
      <c r="C6" s="8" t="s">
        <v>5</v>
      </c>
      <c r="D6" s="9" t="s">
        <v>8</v>
      </c>
      <c r="F6" s="152"/>
      <c r="G6" s="7" t="s">
        <v>4</v>
      </c>
      <c r="H6" s="8" t="s">
        <v>5</v>
      </c>
      <c r="I6" s="9" t="s">
        <v>8</v>
      </c>
      <c r="J6" s="6"/>
      <c r="L6" s="28"/>
      <c r="M6" s="13" t="s">
        <v>13</v>
      </c>
      <c r="N6" s="109">
        <v>16286</v>
      </c>
      <c r="O6" s="105">
        <f>S24</f>
        <v>114661.73993217465</v>
      </c>
      <c r="P6" s="28"/>
      <c r="Q6" s="52" t="s">
        <v>4</v>
      </c>
      <c r="R6" s="53" t="s">
        <v>5</v>
      </c>
      <c r="S6" s="54" t="s">
        <v>8</v>
      </c>
    </row>
    <row r="7" spans="1:24" x14ac:dyDescent="0.3">
      <c r="A7" s="13" t="s">
        <v>9</v>
      </c>
      <c r="B7" s="17">
        <v>129130</v>
      </c>
      <c r="C7" s="17">
        <v>124041</v>
      </c>
      <c r="D7" s="16">
        <f>SUM(B7,C7)</f>
        <v>253171</v>
      </c>
      <c r="F7" s="13" t="s">
        <v>9</v>
      </c>
      <c r="G7" s="15">
        <v>131289</v>
      </c>
      <c r="H7" s="15">
        <v>126957</v>
      </c>
      <c r="I7" s="16">
        <f>SUM(G7:H7)</f>
        <v>258246</v>
      </c>
      <c r="J7" s="6"/>
      <c r="L7" s="28"/>
      <c r="M7" s="13" t="s">
        <v>14</v>
      </c>
      <c r="N7" s="109">
        <v>13908</v>
      </c>
      <c r="O7" s="105">
        <f>S30</f>
        <v>105990.3779324145</v>
      </c>
      <c r="P7" s="28"/>
      <c r="Q7" s="55">
        <v>28879</v>
      </c>
      <c r="R7" s="55">
        <v>28093</v>
      </c>
      <c r="S7" s="55">
        <v>56972</v>
      </c>
      <c r="X7" s="51"/>
    </row>
    <row r="8" spans="1:24" x14ac:dyDescent="0.3">
      <c r="A8" s="14" t="s">
        <v>10</v>
      </c>
      <c r="B8" s="17">
        <v>130718</v>
      </c>
      <c r="C8" s="17">
        <v>126510</v>
      </c>
      <c r="D8" s="16">
        <f t="shared" ref="D8:D22" si="0">SUM(B8,C8)</f>
        <v>257228</v>
      </c>
      <c r="F8" s="14" t="s">
        <v>10</v>
      </c>
      <c r="G8" s="15">
        <v>137858</v>
      </c>
      <c r="H8" s="15">
        <v>132878</v>
      </c>
      <c r="I8" s="16">
        <f t="shared" ref="I8:I24" si="1">SUM(G8:H8)</f>
        <v>270736</v>
      </c>
      <c r="J8" s="6"/>
      <c r="L8" s="28"/>
      <c r="M8" s="13" t="s">
        <v>15</v>
      </c>
      <c r="N8" s="109">
        <v>9223</v>
      </c>
      <c r="O8" s="105">
        <f>S36</f>
        <v>109920.4135118954</v>
      </c>
      <c r="P8" s="28"/>
      <c r="Q8" s="56" t="s">
        <v>35</v>
      </c>
      <c r="R8" s="31"/>
      <c r="S8" s="31"/>
    </row>
    <row r="9" spans="1:24" x14ac:dyDescent="0.3">
      <c r="A9" s="14" t="s">
        <v>11</v>
      </c>
      <c r="B9" s="17">
        <v>119135</v>
      </c>
      <c r="C9" s="17">
        <v>115524</v>
      </c>
      <c r="D9" s="16">
        <f t="shared" si="0"/>
        <v>234659</v>
      </c>
      <c r="F9" s="14" t="s">
        <v>11</v>
      </c>
      <c r="G9" s="15">
        <v>136153</v>
      </c>
      <c r="H9" s="15">
        <v>132040</v>
      </c>
      <c r="I9" s="16">
        <f t="shared" si="1"/>
        <v>268193</v>
      </c>
      <c r="J9" s="6"/>
      <c r="L9" s="28"/>
      <c r="M9" s="13" t="s">
        <v>16</v>
      </c>
      <c r="N9" s="109">
        <v>3795</v>
      </c>
      <c r="O9" s="105">
        <f>S42</f>
        <v>107873.40571605311</v>
      </c>
      <c r="P9" s="28"/>
      <c r="S9" s="28"/>
    </row>
    <row r="10" spans="1:24" x14ac:dyDescent="0.3">
      <c r="A10" s="13" t="s">
        <v>12</v>
      </c>
      <c r="B10" s="17">
        <v>113776</v>
      </c>
      <c r="C10" s="20">
        <v>111640</v>
      </c>
      <c r="D10" s="16">
        <f t="shared" si="0"/>
        <v>225416</v>
      </c>
      <c r="F10" s="13" t="s">
        <v>12</v>
      </c>
      <c r="G10" s="15">
        <v>132477</v>
      </c>
      <c r="H10" s="19">
        <v>129465</v>
      </c>
      <c r="I10" s="16">
        <f t="shared" si="1"/>
        <v>261942</v>
      </c>
      <c r="J10" s="6"/>
      <c r="L10" s="28"/>
      <c r="M10" s="13" t="s">
        <v>17</v>
      </c>
      <c r="N10" s="108">
        <v>725</v>
      </c>
      <c r="O10" s="105">
        <f>S48</f>
        <v>90686.223645631791</v>
      </c>
      <c r="P10" s="28"/>
      <c r="Q10" s="32" t="s">
        <v>36</v>
      </c>
      <c r="R10" s="33">
        <f>R7/S7</f>
        <v>0.49310187460506916</v>
      </c>
    </row>
    <row r="11" spans="1:24" x14ac:dyDescent="0.3">
      <c r="A11" s="13" t="s">
        <v>13</v>
      </c>
      <c r="B11" s="17">
        <v>110790</v>
      </c>
      <c r="C11" s="20">
        <v>113067</v>
      </c>
      <c r="D11" s="16">
        <f t="shared" si="0"/>
        <v>223857</v>
      </c>
      <c r="F11" s="13" t="s">
        <v>13</v>
      </c>
      <c r="G11" s="15">
        <v>115443</v>
      </c>
      <c r="H11" s="19">
        <v>114689</v>
      </c>
      <c r="I11" s="16">
        <f t="shared" si="1"/>
        <v>230132</v>
      </c>
      <c r="J11" s="6"/>
      <c r="L11" s="28"/>
      <c r="M11" s="13" t="s">
        <v>18</v>
      </c>
      <c r="N11" s="108">
        <v>46</v>
      </c>
      <c r="O11" s="105">
        <f>S54</f>
        <v>76815.482433448196</v>
      </c>
      <c r="P11" s="28"/>
    </row>
    <row r="12" spans="1:24" x14ac:dyDescent="0.3">
      <c r="A12" s="13" t="s">
        <v>14</v>
      </c>
      <c r="B12" s="17">
        <v>99588</v>
      </c>
      <c r="C12" s="20">
        <v>105074</v>
      </c>
      <c r="D12" s="16">
        <f t="shared" si="0"/>
        <v>204662</v>
      </c>
      <c r="F12" s="13" t="s">
        <v>14</v>
      </c>
      <c r="G12" s="15">
        <v>104230</v>
      </c>
      <c r="H12" s="19">
        <v>106006</v>
      </c>
      <c r="I12" s="16">
        <f t="shared" si="1"/>
        <v>210236</v>
      </c>
      <c r="J12" s="6"/>
      <c r="L12" s="28"/>
      <c r="M12" s="13" t="s">
        <v>8</v>
      </c>
      <c r="N12" s="106">
        <f>SUM(N5:N11)</f>
        <v>55892</v>
      </c>
      <c r="O12" s="107">
        <f>SUM(O5:O11)</f>
        <v>735092.97417577438</v>
      </c>
      <c r="P12" s="28"/>
    </row>
    <row r="13" spans="1:24" x14ac:dyDescent="0.3">
      <c r="A13" s="13" t="s">
        <v>15</v>
      </c>
      <c r="B13" s="17">
        <v>86903</v>
      </c>
      <c r="C13" s="20">
        <v>92787</v>
      </c>
      <c r="D13" s="16">
        <f t="shared" si="0"/>
        <v>179690</v>
      </c>
      <c r="F13" s="13" t="s">
        <v>15</v>
      </c>
      <c r="G13" s="15">
        <v>106088</v>
      </c>
      <c r="H13" s="19">
        <v>110237</v>
      </c>
      <c r="I13" s="16">
        <f t="shared" si="1"/>
        <v>216325</v>
      </c>
      <c r="J13" s="6"/>
      <c r="L13" s="28"/>
      <c r="M13" s="18" t="s">
        <v>35</v>
      </c>
      <c r="N13" s="28"/>
      <c r="O13" s="28"/>
      <c r="P13" s="28"/>
    </row>
    <row r="14" spans="1:24" x14ac:dyDescent="0.3">
      <c r="A14" s="13" t="s">
        <v>16</v>
      </c>
      <c r="B14" s="17">
        <v>76375</v>
      </c>
      <c r="C14" s="20">
        <v>81011</v>
      </c>
      <c r="D14" s="16">
        <f t="shared" si="0"/>
        <v>157386</v>
      </c>
      <c r="F14" s="13" t="s">
        <v>16</v>
      </c>
      <c r="G14" s="15">
        <v>103371</v>
      </c>
      <c r="H14" s="19">
        <v>108399</v>
      </c>
      <c r="I14" s="16">
        <f t="shared" si="1"/>
        <v>211770</v>
      </c>
      <c r="J14" s="6"/>
      <c r="L14" s="28"/>
      <c r="M14" s="28"/>
      <c r="N14" s="34"/>
      <c r="O14" s="28"/>
      <c r="P14" s="28"/>
    </row>
    <row r="15" spans="1:24" x14ac:dyDescent="0.3">
      <c r="A15" s="13" t="s">
        <v>17</v>
      </c>
      <c r="B15" s="17">
        <v>63095</v>
      </c>
      <c r="C15" s="20">
        <v>65856</v>
      </c>
      <c r="D15" s="16">
        <f t="shared" si="0"/>
        <v>128951</v>
      </c>
      <c r="F15" s="13" t="s">
        <v>17</v>
      </c>
      <c r="G15" s="15">
        <v>86374</v>
      </c>
      <c r="H15" s="19">
        <v>91180</v>
      </c>
      <c r="I15" s="16">
        <f t="shared" si="1"/>
        <v>177554</v>
      </c>
      <c r="J15" s="6"/>
      <c r="L15" s="148" t="s">
        <v>37</v>
      </c>
      <c r="M15" s="148"/>
      <c r="N15" s="148"/>
      <c r="O15" s="148"/>
      <c r="P15" s="148"/>
      <c r="Q15" s="148"/>
      <c r="R15" s="148"/>
      <c r="S15" s="148"/>
    </row>
    <row r="16" spans="1:24" ht="14.5" thickBot="1" x14ac:dyDescent="0.35">
      <c r="A16" s="13" t="s">
        <v>18</v>
      </c>
      <c r="B16" s="17">
        <v>48525</v>
      </c>
      <c r="C16" s="20">
        <v>50472</v>
      </c>
      <c r="D16" s="16">
        <f t="shared" si="0"/>
        <v>98997</v>
      </c>
      <c r="F16" s="13" t="s">
        <v>18</v>
      </c>
      <c r="G16" s="15">
        <v>72906</v>
      </c>
      <c r="H16" s="19">
        <v>77365</v>
      </c>
      <c r="I16" s="16">
        <f t="shared" si="1"/>
        <v>150271</v>
      </c>
      <c r="J16" s="6"/>
      <c r="L16" s="35" t="s">
        <v>12</v>
      </c>
      <c r="M16" s="36"/>
      <c r="N16" s="36"/>
      <c r="O16" s="36"/>
      <c r="Q16" s="36"/>
      <c r="R16" s="36"/>
      <c r="S16" s="36"/>
    </row>
    <row r="17" spans="1:19" ht="16.5" thickBot="1" x14ac:dyDescent="0.35">
      <c r="A17" s="13" t="s">
        <v>19</v>
      </c>
      <c r="B17" s="17">
        <v>40702</v>
      </c>
      <c r="C17" s="17">
        <v>42230</v>
      </c>
      <c r="D17" s="16">
        <f t="shared" si="0"/>
        <v>82932</v>
      </c>
      <c r="F17" s="13" t="s">
        <v>19</v>
      </c>
      <c r="G17" s="15">
        <v>60909</v>
      </c>
      <c r="H17" s="15">
        <v>65052</v>
      </c>
      <c r="I17" s="16">
        <f t="shared" si="1"/>
        <v>125961</v>
      </c>
      <c r="J17" s="6"/>
      <c r="L17" s="37" t="s">
        <v>32</v>
      </c>
      <c r="M17" s="37" t="s">
        <v>39</v>
      </c>
      <c r="N17" s="37" t="s">
        <v>33</v>
      </c>
      <c r="O17" s="37" t="s">
        <v>34</v>
      </c>
      <c r="Q17" s="37" t="s">
        <v>39</v>
      </c>
      <c r="R17" s="37" t="s">
        <v>40</v>
      </c>
      <c r="S17" s="38" t="s">
        <v>43</v>
      </c>
    </row>
    <row r="18" spans="1:19" x14ac:dyDescent="0.3">
      <c r="A18" s="13" t="s">
        <v>20</v>
      </c>
      <c r="B18" s="17">
        <v>30959</v>
      </c>
      <c r="C18" s="17">
        <v>32098</v>
      </c>
      <c r="D18" s="16">
        <f t="shared" si="0"/>
        <v>63057</v>
      </c>
      <c r="F18" s="13" t="s">
        <v>20</v>
      </c>
      <c r="G18" s="15">
        <v>46924</v>
      </c>
      <c r="H18" s="15">
        <v>48197</v>
      </c>
      <c r="I18" s="16">
        <f t="shared" si="1"/>
        <v>95121</v>
      </c>
      <c r="J18" s="6"/>
      <c r="L18" s="39">
        <v>36612</v>
      </c>
      <c r="M18" s="40">
        <f>2000+7/12+1/365</f>
        <v>2000.5860730593606</v>
      </c>
      <c r="N18" s="41">
        <f>C10</f>
        <v>111640</v>
      </c>
      <c r="O18" s="141">
        <f>LN(N19/N18)/M20</f>
        <v>1.4692357464711319E-2</v>
      </c>
      <c r="Q18" s="143">
        <f>2010+6/12+0/365</f>
        <v>2010.5</v>
      </c>
      <c r="R18" s="143">
        <f>Q18-M18</f>
        <v>9.9139269406393851</v>
      </c>
      <c r="S18" s="145">
        <f>N18*EXP(O18*R18)</f>
        <v>129145.33100415666</v>
      </c>
    </row>
    <row r="19" spans="1:19" ht="14.5" thickBot="1" x14ac:dyDescent="0.35">
      <c r="A19" s="13" t="s">
        <v>21</v>
      </c>
      <c r="B19" s="17">
        <v>26017</v>
      </c>
      <c r="C19" s="17">
        <v>27836</v>
      </c>
      <c r="D19" s="16">
        <f t="shared" si="0"/>
        <v>53853</v>
      </c>
      <c r="F19" s="13" t="s">
        <v>21</v>
      </c>
      <c r="G19" s="15">
        <v>37467</v>
      </c>
      <c r="H19" s="15">
        <v>40060</v>
      </c>
      <c r="I19" s="16">
        <f t="shared" si="1"/>
        <v>77527</v>
      </c>
      <c r="J19" s="6"/>
      <c r="L19" s="42">
        <v>40264</v>
      </c>
      <c r="M19" s="43">
        <f>2010+7/12+31/365</f>
        <v>2010.6682648401825</v>
      </c>
      <c r="N19" s="44">
        <f>H10</f>
        <v>129465</v>
      </c>
      <c r="O19" s="142"/>
      <c r="Q19" s="144"/>
      <c r="R19" s="144"/>
      <c r="S19" s="146"/>
    </row>
    <row r="20" spans="1:19" ht="16" thickBot="1" x14ac:dyDescent="0.35">
      <c r="A20" s="13" t="s">
        <v>22</v>
      </c>
      <c r="B20" s="17">
        <v>18870</v>
      </c>
      <c r="C20" s="17">
        <v>20303</v>
      </c>
      <c r="D20" s="16">
        <f t="shared" si="0"/>
        <v>39173</v>
      </c>
      <c r="F20" s="13" t="s">
        <v>22</v>
      </c>
      <c r="G20" s="15">
        <v>26827</v>
      </c>
      <c r="H20" s="15">
        <v>28840</v>
      </c>
      <c r="I20" s="16">
        <f t="shared" si="1"/>
        <v>55667</v>
      </c>
      <c r="J20" s="6"/>
      <c r="L20" s="45" t="s">
        <v>40</v>
      </c>
      <c r="M20" s="46">
        <f>M19-M18</f>
        <v>10.082191780821859</v>
      </c>
      <c r="N20" s="28"/>
      <c r="O20" s="28"/>
    </row>
    <row r="21" spans="1:19" x14ac:dyDescent="0.3">
      <c r="A21" s="13" t="s">
        <v>23</v>
      </c>
      <c r="B21" s="17">
        <v>13890</v>
      </c>
      <c r="C21" s="17">
        <v>15053</v>
      </c>
      <c r="D21" s="16">
        <f t="shared" si="0"/>
        <v>28943</v>
      </c>
      <c r="F21" s="13" t="s">
        <v>23</v>
      </c>
      <c r="G21" s="15">
        <v>20407</v>
      </c>
      <c r="H21" s="15">
        <v>22425</v>
      </c>
      <c r="I21" s="16">
        <f t="shared" si="1"/>
        <v>42832</v>
      </c>
      <c r="J21" s="6"/>
      <c r="L21" s="28"/>
      <c r="M21" s="28"/>
      <c r="N21" s="28"/>
    </row>
    <row r="22" spans="1:19" ht="14.5" thickBot="1" x14ac:dyDescent="0.35">
      <c r="A22" s="13" t="s">
        <v>27</v>
      </c>
      <c r="B22" s="17">
        <v>18062</v>
      </c>
      <c r="C22" s="17">
        <v>21187</v>
      </c>
      <c r="D22" s="16">
        <f t="shared" si="0"/>
        <v>39249</v>
      </c>
      <c r="F22" s="13" t="s">
        <v>24</v>
      </c>
      <c r="G22" s="15">
        <v>13197</v>
      </c>
      <c r="H22" s="15">
        <v>14413</v>
      </c>
      <c r="I22" s="16">
        <f t="shared" si="1"/>
        <v>27610</v>
      </c>
      <c r="J22" s="6"/>
      <c r="L22" s="35" t="s">
        <v>13</v>
      </c>
      <c r="M22" s="36"/>
      <c r="N22" s="36"/>
      <c r="O22" s="36"/>
      <c r="Q22" s="36"/>
      <c r="R22" s="36"/>
      <c r="S22" s="36"/>
    </row>
    <row r="23" spans="1:19" ht="16.5" thickBot="1" x14ac:dyDescent="0.35">
      <c r="A23" s="10" t="s">
        <v>8</v>
      </c>
      <c r="B23" s="21">
        <v>1140195</v>
      </c>
      <c r="C23" s="21">
        <v>1157875</v>
      </c>
      <c r="D23" s="25">
        <f>SUM(B23,C23)</f>
        <v>2298070</v>
      </c>
      <c r="F23" s="13" t="s">
        <v>25</v>
      </c>
      <c r="G23" s="15">
        <v>7645</v>
      </c>
      <c r="H23" s="15">
        <v>9431</v>
      </c>
      <c r="I23" s="16">
        <f t="shared" si="1"/>
        <v>17076</v>
      </c>
      <c r="J23" s="6"/>
      <c r="L23" s="37" t="s">
        <v>32</v>
      </c>
      <c r="M23" s="37" t="s">
        <v>39</v>
      </c>
      <c r="N23" s="37" t="s">
        <v>33</v>
      </c>
      <c r="O23" s="37" t="s">
        <v>34</v>
      </c>
      <c r="Q23" s="37" t="s">
        <v>39</v>
      </c>
      <c r="R23" s="37" t="s">
        <v>40</v>
      </c>
      <c r="S23" s="38" t="s">
        <v>43</v>
      </c>
    </row>
    <row r="24" spans="1:19" x14ac:dyDescent="0.3">
      <c r="A24" s="22"/>
      <c r="B24" s="23"/>
      <c r="C24" s="23"/>
      <c r="D24" s="24"/>
      <c r="F24" s="13" t="s">
        <v>6</v>
      </c>
      <c r="G24" s="15">
        <v>5614</v>
      </c>
      <c r="H24" s="15">
        <v>7618</v>
      </c>
      <c r="I24" s="16">
        <f t="shared" si="1"/>
        <v>13232</v>
      </c>
      <c r="J24" s="6"/>
      <c r="L24" s="39">
        <f>L18</f>
        <v>36612</v>
      </c>
      <c r="M24" s="40">
        <f>M18</f>
        <v>2000.5860730593606</v>
      </c>
      <c r="N24" s="41">
        <f>C11</f>
        <v>113067</v>
      </c>
      <c r="O24" s="141">
        <f>LN(N25/N24)/M26</f>
        <v>1.4127437896020701E-3</v>
      </c>
      <c r="Q24" s="143">
        <f>Q18</f>
        <v>2010.5</v>
      </c>
      <c r="R24" s="143">
        <f>Q24-M24</f>
        <v>9.9139269406393851</v>
      </c>
      <c r="S24" s="145">
        <f>N24*EXP(O24*R24)</f>
        <v>114661.73993217465</v>
      </c>
    </row>
    <row r="25" spans="1:19" ht="14.5" thickBot="1" x14ac:dyDescent="0.35">
      <c r="F25" s="10" t="s">
        <v>8</v>
      </c>
      <c r="G25" s="11">
        <f>SUM(G7:G24)</f>
        <v>1345179</v>
      </c>
      <c r="H25" s="11">
        <f>SUM(H7:H24)</f>
        <v>1365252</v>
      </c>
      <c r="I25" s="12">
        <f>SUM(I7:I24)</f>
        <v>2710431</v>
      </c>
      <c r="J25" s="6"/>
      <c r="L25" s="42">
        <f>L19</f>
        <v>40264</v>
      </c>
      <c r="M25" s="43">
        <f>M19</f>
        <v>2010.6682648401825</v>
      </c>
      <c r="N25" s="44">
        <f>H11</f>
        <v>114689</v>
      </c>
      <c r="O25" s="142"/>
      <c r="Q25" s="144"/>
      <c r="R25" s="144"/>
      <c r="S25" s="146"/>
    </row>
    <row r="26" spans="1:19" ht="16" thickBot="1" x14ac:dyDescent="0.35">
      <c r="A26" s="2"/>
      <c r="B26" s="3"/>
      <c r="C26" s="3"/>
      <c r="L26" s="45" t="s">
        <v>40</v>
      </c>
      <c r="M26" s="46">
        <f>M25-M24</f>
        <v>10.082191780821859</v>
      </c>
      <c r="N26" s="28"/>
      <c r="O26" s="28"/>
    </row>
    <row r="27" spans="1:19" x14ac:dyDescent="0.3">
      <c r="A27" s="2"/>
      <c r="B27" s="3"/>
      <c r="C27" s="3"/>
      <c r="L27" s="28"/>
      <c r="M27" s="28"/>
      <c r="N27" s="28"/>
    </row>
    <row r="28" spans="1:19" ht="14.5" thickBot="1" x14ac:dyDescent="0.35">
      <c r="A28" s="18" t="s">
        <v>7</v>
      </c>
      <c r="B28" s="3"/>
      <c r="C28" s="3"/>
      <c r="L28" s="35" t="s">
        <v>14</v>
      </c>
      <c r="M28" s="36"/>
      <c r="N28" s="36"/>
      <c r="O28" s="36"/>
      <c r="Q28" s="36"/>
      <c r="R28" s="36"/>
      <c r="S28" s="36"/>
    </row>
    <row r="29" spans="1:19" ht="16.5" thickBot="1" x14ac:dyDescent="0.35">
      <c r="A29" s="18" t="s">
        <v>3</v>
      </c>
      <c r="L29" s="37" t="s">
        <v>32</v>
      </c>
      <c r="M29" s="37" t="s">
        <v>39</v>
      </c>
      <c r="N29" s="37" t="s">
        <v>33</v>
      </c>
      <c r="O29" s="37" t="s">
        <v>34</v>
      </c>
      <c r="Q29" s="37" t="s">
        <v>39</v>
      </c>
      <c r="R29" s="37" t="s">
        <v>40</v>
      </c>
      <c r="S29" s="38" t="s">
        <v>43</v>
      </c>
    </row>
    <row r="30" spans="1:19" x14ac:dyDescent="0.3">
      <c r="L30" s="39">
        <f>L24</f>
        <v>36612</v>
      </c>
      <c r="M30" s="40">
        <f>M24</f>
        <v>2000.5860730593606</v>
      </c>
      <c r="N30" s="41">
        <f>C12</f>
        <v>105074</v>
      </c>
      <c r="O30" s="141">
        <f>LN(N31/N30)/M32</f>
        <v>8.7588419675588042E-4</v>
      </c>
      <c r="Q30" s="143">
        <f>Q24</f>
        <v>2010.5</v>
      </c>
      <c r="R30" s="143">
        <f>Q30-M30</f>
        <v>9.9139269406393851</v>
      </c>
      <c r="S30" s="145">
        <f>N30*EXP(O30*R30)</f>
        <v>105990.3779324145</v>
      </c>
    </row>
    <row r="31" spans="1:19" ht="14.5" thickBot="1" x14ac:dyDescent="0.35">
      <c r="A31" s="148" t="s">
        <v>31</v>
      </c>
      <c r="B31" s="148"/>
      <c r="C31" s="148"/>
      <c r="D31" s="148"/>
      <c r="E31" s="148"/>
      <c r="F31" s="148"/>
      <c r="G31" s="148"/>
      <c r="H31" s="148"/>
      <c r="L31" s="42">
        <f>L25</f>
        <v>40264</v>
      </c>
      <c r="M31" s="43">
        <f>M25</f>
        <v>2010.6682648401825</v>
      </c>
      <c r="N31" s="44">
        <f>H12</f>
        <v>106006</v>
      </c>
      <c r="O31" s="142"/>
      <c r="Q31" s="144"/>
      <c r="R31" s="144"/>
      <c r="S31" s="146"/>
    </row>
    <row r="32" spans="1:19" ht="16" thickBot="1" x14ac:dyDescent="0.35">
      <c r="A32" s="35" t="s">
        <v>12</v>
      </c>
      <c r="B32" s="36"/>
      <c r="C32" s="36"/>
      <c r="D32" s="36"/>
      <c r="F32" s="36"/>
      <c r="G32" s="36"/>
      <c r="H32" s="36"/>
      <c r="L32" s="45" t="s">
        <v>40</v>
      </c>
      <c r="M32" s="46">
        <f>M31-M30</f>
        <v>10.082191780821859</v>
      </c>
      <c r="N32" s="28"/>
      <c r="O32" s="28"/>
    </row>
    <row r="33" spans="1:19" ht="16.5" thickBot="1" x14ac:dyDescent="0.35">
      <c r="A33" s="37" t="s">
        <v>32</v>
      </c>
      <c r="B33" s="37" t="s">
        <v>39</v>
      </c>
      <c r="C33" s="37" t="s">
        <v>33</v>
      </c>
      <c r="D33" s="37" t="s">
        <v>34</v>
      </c>
      <c r="F33" s="37" t="s">
        <v>39</v>
      </c>
      <c r="G33" s="37" t="s">
        <v>40</v>
      </c>
      <c r="H33" s="38" t="s">
        <v>42</v>
      </c>
      <c r="L33" s="28"/>
      <c r="M33" s="28"/>
      <c r="N33" s="28"/>
    </row>
    <row r="34" spans="1:19" ht="14.5" thickBot="1" x14ac:dyDescent="0.35">
      <c r="A34" s="49">
        <v>36612</v>
      </c>
      <c r="B34" s="40">
        <f>2000+7/12+1/365</f>
        <v>2000.5860730593606</v>
      </c>
      <c r="C34" s="41">
        <f>D23</f>
        <v>2298070</v>
      </c>
      <c r="D34" s="141">
        <f>LN(C35/C34)/B36</f>
        <v>1.6369260394057814E-2</v>
      </c>
      <c r="F34" s="143">
        <f>2010+6/12+0/365</f>
        <v>2010.5</v>
      </c>
      <c r="G34" s="143">
        <f>F34-B34</f>
        <v>9.9139269406393851</v>
      </c>
      <c r="H34" s="150">
        <f>C34*EXP($D$34*G34)</f>
        <v>2702975.7394890934</v>
      </c>
      <c r="L34" s="35" t="s">
        <v>15</v>
      </c>
      <c r="M34" s="36"/>
      <c r="N34" s="36"/>
      <c r="O34" s="36"/>
      <c r="Q34" s="36"/>
      <c r="R34" s="36"/>
      <c r="S34" s="36"/>
    </row>
    <row r="35" spans="1:19" ht="16.5" thickBot="1" x14ac:dyDescent="0.35">
      <c r="A35" s="50">
        <v>40264</v>
      </c>
      <c r="B35" s="43">
        <f>2010+7/12+31/365</f>
        <v>2010.6682648401825</v>
      </c>
      <c r="C35" s="44">
        <f>I25</f>
        <v>2710431</v>
      </c>
      <c r="D35" s="142"/>
      <c r="F35" s="144"/>
      <c r="G35" s="144"/>
      <c r="H35" s="151"/>
      <c r="L35" s="37" t="s">
        <v>32</v>
      </c>
      <c r="M35" s="37" t="s">
        <v>39</v>
      </c>
      <c r="N35" s="37" t="s">
        <v>33</v>
      </c>
      <c r="O35" s="37" t="s">
        <v>34</v>
      </c>
      <c r="Q35" s="37" t="s">
        <v>39</v>
      </c>
      <c r="R35" s="37" t="s">
        <v>40</v>
      </c>
      <c r="S35" s="38" t="s">
        <v>43</v>
      </c>
    </row>
    <row r="36" spans="1:19" ht="16" thickBot="1" x14ac:dyDescent="0.35">
      <c r="A36" s="45" t="s">
        <v>40</v>
      </c>
      <c r="B36" s="46">
        <f>B35-B34</f>
        <v>10.082191780821859</v>
      </c>
      <c r="C36" s="28"/>
      <c r="D36" s="28"/>
      <c r="L36" s="39">
        <f>L30</f>
        <v>36612</v>
      </c>
      <c r="M36" s="40">
        <f>M30</f>
        <v>2000.5860730593606</v>
      </c>
      <c r="N36" s="41">
        <f>C13</f>
        <v>92787</v>
      </c>
      <c r="O36" s="141">
        <f>LN(N37/N36)/M38</f>
        <v>1.7092121784263149E-2</v>
      </c>
      <c r="Q36" s="143">
        <f>Q30</f>
        <v>2010.5</v>
      </c>
      <c r="R36" s="143">
        <f>Q36-M36</f>
        <v>9.9139269406393851</v>
      </c>
      <c r="S36" s="145">
        <f>N36*EXP(O36*R36)</f>
        <v>109920.4135118954</v>
      </c>
    </row>
    <row r="37" spans="1:19" ht="14.5" thickBot="1" x14ac:dyDescent="0.35">
      <c r="L37" s="42">
        <f>L31</f>
        <v>40264</v>
      </c>
      <c r="M37" s="43">
        <f>M31</f>
        <v>2010.6682648401825</v>
      </c>
      <c r="N37" s="44">
        <f>H13</f>
        <v>110237</v>
      </c>
      <c r="O37" s="142"/>
      <c r="Q37" s="144"/>
      <c r="R37" s="144"/>
      <c r="S37" s="146"/>
    </row>
    <row r="38" spans="1:19" ht="16" thickBot="1" x14ac:dyDescent="0.35">
      <c r="L38" s="45" t="s">
        <v>40</v>
      </c>
      <c r="M38" s="46">
        <f>M37-M36</f>
        <v>10.082191780821859</v>
      </c>
      <c r="N38" s="28"/>
      <c r="O38" s="28"/>
    </row>
    <row r="39" spans="1:19" x14ac:dyDescent="0.3">
      <c r="L39" s="28"/>
      <c r="M39" s="28"/>
      <c r="N39" s="28"/>
    </row>
    <row r="40" spans="1:19" ht="14.5" thickBot="1" x14ac:dyDescent="0.35">
      <c r="L40" s="35" t="s">
        <v>16</v>
      </c>
      <c r="M40" s="36"/>
      <c r="N40" s="36"/>
      <c r="O40" s="36"/>
      <c r="Q40" s="36"/>
      <c r="R40" s="36"/>
      <c r="S40" s="36"/>
    </row>
    <row r="41" spans="1:19" ht="16.5" thickBot="1" x14ac:dyDescent="0.35">
      <c r="L41" s="37" t="s">
        <v>32</v>
      </c>
      <c r="M41" s="37" t="s">
        <v>39</v>
      </c>
      <c r="N41" s="37" t="s">
        <v>33</v>
      </c>
      <c r="O41" s="37" t="s">
        <v>34</v>
      </c>
      <c r="Q41" s="37" t="s">
        <v>39</v>
      </c>
      <c r="R41" s="37" t="s">
        <v>40</v>
      </c>
      <c r="S41" s="38" t="s">
        <v>43</v>
      </c>
    </row>
    <row r="42" spans="1:19" x14ac:dyDescent="0.3">
      <c r="L42" s="39">
        <f>L36</f>
        <v>36612</v>
      </c>
      <c r="M42" s="40">
        <f>M36</f>
        <v>2000.5860730593606</v>
      </c>
      <c r="N42" s="41">
        <f>C14</f>
        <v>81011</v>
      </c>
      <c r="O42" s="141">
        <f>LN(N43/N42)/M44</f>
        <v>2.8885972641729426E-2</v>
      </c>
      <c r="Q42" s="143">
        <f>Q36</f>
        <v>2010.5</v>
      </c>
      <c r="R42" s="143">
        <f>Q42-M42</f>
        <v>9.9139269406393851</v>
      </c>
      <c r="S42" s="145">
        <f>N42*EXP(O42*R42)</f>
        <v>107873.40571605311</v>
      </c>
    </row>
    <row r="43" spans="1:19" ht="14.5" thickBot="1" x14ac:dyDescent="0.35">
      <c r="L43" s="42">
        <f>L37</f>
        <v>40264</v>
      </c>
      <c r="M43" s="43">
        <f>M37</f>
        <v>2010.6682648401825</v>
      </c>
      <c r="N43" s="44">
        <f>H14</f>
        <v>108399</v>
      </c>
      <c r="O43" s="142"/>
      <c r="Q43" s="144"/>
      <c r="R43" s="144"/>
      <c r="S43" s="146"/>
    </row>
    <row r="44" spans="1:19" ht="16" thickBot="1" x14ac:dyDescent="0.35">
      <c r="L44" s="45" t="s">
        <v>40</v>
      </c>
      <c r="M44" s="46">
        <f>M43-M42</f>
        <v>10.082191780821859</v>
      </c>
      <c r="N44" s="28"/>
      <c r="O44" s="28"/>
    </row>
    <row r="45" spans="1:19" x14ac:dyDescent="0.3">
      <c r="L45" s="28"/>
      <c r="M45" s="28"/>
      <c r="N45" s="28"/>
    </row>
    <row r="46" spans="1:19" ht="14.5" thickBot="1" x14ac:dyDescent="0.35">
      <c r="L46" s="35" t="s">
        <v>17</v>
      </c>
      <c r="M46" s="36"/>
      <c r="N46" s="36"/>
      <c r="O46" s="36"/>
      <c r="Q46" s="36"/>
      <c r="R46" s="36"/>
      <c r="S46" s="36"/>
    </row>
    <row r="47" spans="1:19" ht="16.5" thickBot="1" x14ac:dyDescent="0.35">
      <c r="L47" s="37" t="s">
        <v>32</v>
      </c>
      <c r="M47" s="37" t="s">
        <v>39</v>
      </c>
      <c r="N47" s="37" t="s">
        <v>33</v>
      </c>
      <c r="O47" s="37" t="s">
        <v>34</v>
      </c>
      <c r="Q47" s="37" t="s">
        <v>39</v>
      </c>
      <c r="R47" s="37" t="s">
        <v>40</v>
      </c>
      <c r="S47" s="38" t="s">
        <v>43</v>
      </c>
    </row>
    <row r="48" spans="1:19" x14ac:dyDescent="0.3">
      <c r="L48" s="39">
        <f>L42</f>
        <v>36612</v>
      </c>
      <c r="M48" s="40">
        <f>M42</f>
        <v>2000.5860730593606</v>
      </c>
      <c r="N48" s="41">
        <f>C15</f>
        <v>65856</v>
      </c>
      <c r="O48" s="141">
        <f>LN(N49/N48)/M50</f>
        <v>3.2271260222664452E-2</v>
      </c>
      <c r="Q48" s="143">
        <f>Q42</f>
        <v>2010.5</v>
      </c>
      <c r="R48" s="143">
        <f>Q48-M48</f>
        <v>9.9139269406393851</v>
      </c>
      <c r="S48" s="145">
        <f>N48*EXP(O48*R48)</f>
        <v>90686.223645631791</v>
      </c>
    </row>
    <row r="49" spans="12:19" ht="14.5" thickBot="1" x14ac:dyDescent="0.35">
      <c r="L49" s="42">
        <f>L43</f>
        <v>40264</v>
      </c>
      <c r="M49" s="43">
        <f>M43</f>
        <v>2010.6682648401825</v>
      </c>
      <c r="N49" s="44">
        <f>H15</f>
        <v>91180</v>
      </c>
      <c r="O49" s="142"/>
      <c r="Q49" s="144"/>
      <c r="R49" s="144"/>
      <c r="S49" s="146"/>
    </row>
    <row r="50" spans="12:19" ht="16" thickBot="1" x14ac:dyDescent="0.35">
      <c r="L50" s="45" t="s">
        <v>40</v>
      </c>
      <c r="M50" s="46">
        <f>M49-M48</f>
        <v>10.082191780821859</v>
      </c>
      <c r="N50" s="28"/>
      <c r="O50" s="28"/>
    </row>
    <row r="51" spans="12:19" x14ac:dyDescent="0.3">
      <c r="L51" s="28"/>
      <c r="M51" s="28"/>
      <c r="N51" s="28"/>
    </row>
    <row r="52" spans="12:19" ht="14.5" thickBot="1" x14ac:dyDescent="0.35">
      <c r="L52" s="35" t="s">
        <v>18</v>
      </c>
      <c r="M52" s="36"/>
      <c r="N52" s="36"/>
      <c r="O52" s="36"/>
      <c r="Q52" s="36"/>
      <c r="R52" s="36"/>
      <c r="S52" s="36"/>
    </row>
    <row r="53" spans="12:19" ht="16.5" thickBot="1" x14ac:dyDescent="0.35">
      <c r="L53" s="37" t="s">
        <v>32</v>
      </c>
      <c r="M53" s="37" t="s">
        <v>39</v>
      </c>
      <c r="N53" s="37" t="s">
        <v>33</v>
      </c>
      <c r="O53" s="37" t="s">
        <v>34</v>
      </c>
      <c r="Q53" s="37" t="s">
        <v>39</v>
      </c>
      <c r="R53" s="37" t="s">
        <v>40</v>
      </c>
      <c r="S53" s="38" t="s">
        <v>43</v>
      </c>
    </row>
    <row r="54" spans="12:19" x14ac:dyDescent="0.3">
      <c r="L54" s="39">
        <f>L48</f>
        <v>36612</v>
      </c>
      <c r="M54" s="40">
        <f>M48</f>
        <v>2000.5860730593606</v>
      </c>
      <c r="N54" s="41">
        <f>C16</f>
        <v>50472</v>
      </c>
      <c r="O54" s="141">
        <f>LN(N55/N54)/M56</f>
        <v>4.2363383295840357E-2</v>
      </c>
      <c r="Q54" s="143">
        <f>Q48</f>
        <v>2010.5</v>
      </c>
      <c r="R54" s="143">
        <f>Q54-M54</f>
        <v>9.9139269406393851</v>
      </c>
      <c r="S54" s="145">
        <f>N54*EXP(O54*R54)</f>
        <v>76815.482433448196</v>
      </c>
    </row>
    <row r="55" spans="12:19" ht="14.5" thickBot="1" x14ac:dyDescent="0.35">
      <c r="L55" s="42">
        <f>L49</f>
        <v>40264</v>
      </c>
      <c r="M55" s="43">
        <f>M49</f>
        <v>2010.6682648401825</v>
      </c>
      <c r="N55" s="44">
        <f>H16</f>
        <v>77365</v>
      </c>
      <c r="O55" s="142"/>
      <c r="Q55" s="144"/>
      <c r="R55" s="144"/>
      <c r="S55" s="146"/>
    </row>
    <row r="56" spans="12:19" ht="16" thickBot="1" x14ac:dyDescent="0.35">
      <c r="L56" s="45" t="s">
        <v>40</v>
      </c>
      <c r="M56" s="46">
        <f>M55-M54</f>
        <v>10.082191780821859</v>
      </c>
      <c r="N56" s="28"/>
      <c r="O56" s="28"/>
    </row>
  </sheetData>
  <mergeCells count="41">
    <mergeCell ref="M1:O2"/>
    <mergeCell ref="A31:H31"/>
    <mergeCell ref="D34:D35"/>
    <mergeCell ref="F34:F35"/>
    <mergeCell ref="G34:G35"/>
    <mergeCell ref="H34:H35"/>
    <mergeCell ref="A5:A6"/>
    <mergeCell ref="F5:F6"/>
    <mergeCell ref="B5:D5"/>
    <mergeCell ref="G5:I5"/>
    <mergeCell ref="A1:I1"/>
    <mergeCell ref="O24:O25"/>
    <mergeCell ref="Q4:S4"/>
    <mergeCell ref="L15:S15"/>
    <mergeCell ref="O18:O19"/>
    <mergeCell ref="Q18:Q19"/>
    <mergeCell ref="R18:R19"/>
    <mergeCell ref="S18:S19"/>
    <mergeCell ref="Q24:Q25"/>
    <mergeCell ref="R24:R25"/>
    <mergeCell ref="S24:S25"/>
    <mergeCell ref="O30:O31"/>
    <mergeCell ref="Q30:Q31"/>
    <mergeCell ref="R30:R31"/>
    <mergeCell ref="S30:S31"/>
    <mergeCell ref="O36:O37"/>
    <mergeCell ref="Q36:Q37"/>
    <mergeCell ref="R36:R37"/>
    <mergeCell ref="S36:S37"/>
    <mergeCell ref="O42:O43"/>
    <mergeCell ref="Q42:Q43"/>
    <mergeCell ref="R42:R43"/>
    <mergeCell ref="S42:S43"/>
    <mergeCell ref="O48:O49"/>
    <mergeCell ref="Q48:Q49"/>
    <mergeCell ref="R48:R49"/>
    <mergeCell ref="S48:S49"/>
    <mergeCell ref="O54:O55"/>
    <mergeCell ref="Q54:Q55"/>
    <mergeCell ref="R54:R55"/>
    <mergeCell ref="S54:S55"/>
  </mergeCells>
  <pageMargins left="0.7" right="0.7" top="0.75" bottom="0.75" header="0.3" footer="0.3"/>
  <ignoredErrors>
    <ignoredError sqref="F9 A9"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F3218-DDA8-433E-8DFB-C889EC9B212D}">
  <dimension ref="A1:X56"/>
  <sheetViews>
    <sheetView zoomScale="71" zoomScaleNormal="100" workbookViewId="0">
      <selection activeCell="R11" sqref="R11"/>
    </sheetView>
  </sheetViews>
  <sheetFormatPr baseColWidth="10" defaultRowHeight="14" x14ac:dyDescent="0.3"/>
  <cols>
    <col min="1" max="1" width="12.54296875" style="1" customWidth="1"/>
    <col min="2" max="5" width="10.90625" style="1"/>
    <col min="6" max="6" width="12.26953125" style="1" customWidth="1"/>
    <col min="7" max="13" width="10.90625" style="1"/>
    <col min="14" max="14" width="12.453125" style="1" customWidth="1"/>
    <col min="15" max="15" width="13.90625" style="1" customWidth="1"/>
    <col min="16" max="16384" width="10.90625" style="1"/>
  </cols>
  <sheetData>
    <row r="1" spans="1:24" ht="14.5" customHeight="1" x14ac:dyDescent="0.3">
      <c r="A1" s="155" t="s">
        <v>0</v>
      </c>
      <c r="B1" s="155"/>
      <c r="C1" s="155"/>
      <c r="D1" s="155"/>
      <c r="E1" s="155"/>
      <c r="F1" s="155"/>
      <c r="G1" s="155"/>
      <c r="H1" s="155"/>
      <c r="I1" s="155"/>
      <c r="J1" s="129"/>
      <c r="M1" s="149" t="s">
        <v>38</v>
      </c>
      <c r="N1" s="149"/>
      <c r="O1" s="149"/>
      <c r="P1" s="57"/>
      <c r="Q1" s="57"/>
      <c r="R1" s="57"/>
      <c r="S1" s="57"/>
    </row>
    <row r="2" spans="1:24" ht="14.5" customHeight="1" x14ac:dyDescent="0.3">
      <c r="A2" s="4" t="s">
        <v>1</v>
      </c>
      <c r="B2" s="5"/>
      <c r="C2" s="5"/>
      <c r="D2" s="6"/>
      <c r="E2" s="6"/>
      <c r="F2" s="6"/>
      <c r="G2" s="6"/>
      <c r="H2" s="6"/>
      <c r="I2" s="6"/>
      <c r="M2" s="149"/>
      <c r="N2" s="149"/>
      <c r="O2" s="149"/>
      <c r="P2" s="57"/>
      <c r="Q2" s="27"/>
      <c r="R2" s="27"/>
      <c r="S2" s="27"/>
    </row>
    <row r="3" spans="1:24" ht="14.5" customHeight="1" x14ac:dyDescent="0.3">
      <c r="A3" s="4" t="s">
        <v>2</v>
      </c>
      <c r="B3" s="5"/>
      <c r="C3" s="5"/>
      <c r="D3" s="6"/>
      <c r="E3" s="6"/>
      <c r="F3" s="6"/>
      <c r="G3" s="6"/>
      <c r="H3" s="6"/>
      <c r="I3" s="6"/>
      <c r="L3" s="28"/>
      <c r="M3" s="26"/>
      <c r="N3" s="26"/>
      <c r="O3" s="26"/>
      <c r="P3" s="26"/>
    </row>
    <row r="4" spans="1:24" ht="25" x14ac:dyDescent="0.3">
      <c r="B4" s="5"/>
      <c r="C4" s="5"/>
      <c r="D4" s="6"/>
      <c r="E4" s="6"/>
      <c r="F4" s="6"/>
      <c r="G4" s="6"/>
      <c r="H4" s="6"/>
      <c r="I4" s="6"/>
      <c r="L4" s="28"/>
      <c r="M4" s="47" t="s">
        <v>26</v>
      </c>
      <c r="N4" s="48" t="s">
        <v>29</v>
      </c>
      <c r="O4" s="47" t="s">
        <v>41</v>
      </c>
      <c r="P4" s="28"/>
      <c r="Q4" s="147" t="s">
        <v>44</v>
      </c>
      <c r="R4" s="147"/>
      <c r="S4" s="147"/>
    </row>
    <row r="5" spans="1:24" x14ac:dyDescent="0.3">
      <c r="A5" s="152" t="s">
        <v>26</v>
      </c>
      <c r="B5" s="154" t="s">
        <v>29</v>
      </c>
      <c r="C5" s="154"/>
      <c r="D5" s="154"/>
      <c r="E5" s="6"/>
      <c r="F5" s="152" t="s">
        <v>26</v>
      </c>
      <c r="G5" s="154" t="s">
        <v>30</v>
      </c>
      <c r="H5" s="154"/>
      <c r="I5" s="154"/>
      <c r="L5" s="28"/>
      <c r="M5" s="13" t="s">
        <v>12</v>
      </c>
      <c r="N5" s="133">
        <v>8185</v>
      </c>
      <c r="O5" s="105">
        <f>H10</f>
        <v>138613</v>
      </c>
      <c r="P5" s="28"/>
      <c r="Q5" s="28"/>
      <c r="R5" s="28"/>
      <c r="S5" s="28"/>
    </row>
    <row r="6" spans="1:24" x14ac:dyDescent="0.3">
      <c r="A6" s="152"/>
      <c r="B6" s="7" t="s">
        <v>4</v>
      </c>
      <c r="C6" s="8" t="s">
        <v>5</v>
      </c>
      <c r="D6" s="9" t="s">
        <v>8</v>
      </c>
      <c r="F6" s="152"/>
      <c r="G6" s="7" t="s">
        <v>4</v>
      </c>
      <c r="H6" s="8" t="s">
        <v>5</v>
      </c>
      <c r="I6" s="9" t="s">
        <v>8</v>
      </c>
      <c r="J6" s="6"/>
      <c r="L6" s="28"/>
      <c r="M6" s="13" t="s">
        <v>13</v>
      </c>
      <c r="N6" s="133">
        <v>13198</v>
      </c>
      <c r="O6" s="105">
        <f t="shared" ref="O6:O11" si="0">H11</f>
        <v>136269</v>
      </c>
      <c r="P6" s="28"/>
      <c r="Q6" s="52" t="s">
        <v>4</v>
      </c>
      <c r="R6" s="53" t="s">
        <v>5</v>
      </c>
      <c r="S6" s="54" t="s">
        <v>8</v>
      </c>
    </row>
    <row r="7" spans="1:24" x14ac:dyDescent="0.3">
      <c r="A7" s="13" t="s">
        <v>9</v>
      </c>
      <c r="B7" s="15">
        <v>131289</v>
      </c>
      <c r="C7" s="15">
        <v>126957</v>
      </c>
      <c r="D7" s="16">
        <f>SUM(B7:C7)</f>
        <v>258246</v>
      </c>
      <c r="F7" s="13" t="s">
        <v>9</v>
      </c>
      <c r="G7" s="132">
        <v>143940</v>
      </c>
      <c r="H7" s="132">
        <v>138130</v>
      </c>
      <c r="I7" s="131">
        <v>282070</v>
      </c>
      <c r="J7" s="6"/>
      <c r="L7" s="28"/>
      <c r="M7" s="13" t="s">
        <v>14</v>
      </c>
      <c r="N7" s="133">
        <v>11718</v>
      </c>
      <c r="O7" s="105">
        <f t="shared" si="0"/>
        <v>129830</v>
      </c>
      <c r="P7" s="28"/>
      <c r="Q7" s="55">
        <v>22760</v>
      </c>
      <c r="R7" s="55">
        <v>21974</v>
      </c>
      <c r="S7" s="55">
        <f>Q7+R7</f>
        <v>44734</v>
      </c>
      <c r="X7" s="51"/>
    </row>
    <row r="8" spans="1:24" x14ac:dyDescent="0.3">
      <c r="A8" s="14" t="s">
        <v>10</v>
      </c>
      <c r="B8" s="15">
        <v>137858</v>
      </c>
      <c r="C8" s="15">
        <v>132878</v>
      </c>
      <c r="D8" s="16">
        <f t="shared" ref="D8:D24" si="1">SUM(B8:C8)</f>
        <v>270736</v>
      </c>
      <c r="F8" s="14" t="s">
        <v>10</v>
      </c>
      <c r="G8" s="132">
        <v>148702</v>
      </c>
      <c r="H8" s="132">
        <v>142306</v>
      </c>
      <c r="I8" s="131">
        <v>291008</v>
      </c>
      <c r="J8" s="6"/>
      <c r="L8" s="28"/>
      <c r="M8" s="13" t="s">
        <v>15</v>
      </c>
      <c r="N8" s="133">
        <v>7294</v>
      </c>
      <c r="O8" s="105">
        <f t="shared" si="0"/>
        <v>117439</v>
      </c>
      <c r="P8" s="28"/>
      <c r="Q8" s="56" t="s">
        <v>35</v>
      </c>
      <c r="R8" s="31"/>
      <c r="S8" s="31"/>
    </row>
    <row r="9" spans="1:24" x14ac:dyDescent="0.3">
      <c r="A9" s="14" t="s">
        <v>11</v>
      </c>
      <c r="B9" s="15">
        <v>136153</v>
      </c>
      <c r="C9" s="15">
        <v>132040</v>
      </c>
      <c r="D9" s="16">
        <f t="shared" si="1"/>
        <v>268193</v>
      </c>
      <c r="F9" s="130" t="s">
        <v>11</v>
      </c>
      <c r="G9" s="132">
        <v>143169</v>
      </c>
      <c r="H9" s="132">
        <v>138028</v>
      </c>
      <c r="I9" s="131">
        <v>281197</v>
      </c>
      <c r="J9" s="6"/>
      <c r="L9" s="28"/>
      <c r="M9" s="13" t="s">
        <v>16</v>
      </c>
      <c r="N9" s="133">
        <v>3306</v>
      </c>
      <c r="O9" s="105">
        <f t="shared" si="0"/>
        <v>110002</v>
      </c>
      <c r="P9" s="28"/>
      <c r="S9" s="28"/>
    </row>
    <row r="10" spans="1:24" x14ac:dyDescent="0.3">
      <c r="A10" s="13" t="s">
        <v>12</v>
      </c>
      <c r="B10" s="15">
        <v>132477</v>
      </c>
      <c r="C10" s="19">
        <v>129465</v>
      </c>
      <c r="D10" s="16">
        <f t="shared" si="1"/>
        <v>261942</v>
      </c>
      <c r="F10" s="13" t="s">
        <v>12</v>
      </c>
      <c r="G10" s="132">
        <v>143708</v>
      </c>
      <c r="H10" s="135">
        <v>138613</v>
      </c>
      <c r="I10" s="131">
        <v>282321</v>
      </c>
      <c r="J10" s="6"/>
      <c r="L10" s="28"/>
      <c r="M10" s="13" t="s">
        <v>17</v>
      </c>
      <c r="N10" s="134">
        <v>739</v>
      </c>
      <c r="O10" s="105">
        <f t="shared" si="0"/>
        <v>107869</v>
      </c>
      <c r="P10" s="28"/>
      <c r="Q10" s="32" t="s">
        <v>36</v>
      </c>
      <c r="R10" s="33">
        <f>R7/S7</f>
        <v>0.4912147359949926</v>
      </c>
    </row>
    <row r="11" spans="1:24" x14ac:dyDescent="0.3">
      <c r="A11" s="13" t="s">
        <v>13</v>
      </c>
      <c r="B11" s="15">
        <v>115443</v>
      </c>
      <c r="C11" s="19">
        <v>114689</v>
      </c>
      <c r="D11" s="16">
        <f t="shared" si="1"/>
        <v>230132</v>
      </c>
      <c r="F11" s="13" t="s">
        <v>13</v>
      </c>
      <c r="G11" s="132">
        <v>142846</v>
      </c>
      <c r="H11" s="135">
        <v>136269</v>
      </c>
      <c r="I11" s="131">
        <v>279115</v>
      </c>
      <c r="J11" s="6"/>
      <c r="L11" s="28"/>
      <c r="M11" s="13" t="s">
        <v>18</v>
      </c>
      <c r="N11" s="134">
        <v>42</v>
      </c>
      <c r="O11" s="105">
        <f t="shared" si="0"/>
        <v>101612</v>
      </c>
      <c r="P11" s="28"/>
    </row>
    <row r="12" spans="1:24" x14ac:dyDescent="0.3">
      <c r="A12" s="13" t="s">
        <v>14</v>
      </c>
      <c r="B12" s="15">
        <v>104230</v>
      </c>
      <c r="C12" s="19">
        <v>106006</v>
      </c>
      <c r="D12" s="16">
        <f t="shared" si="1"/>
        <v>210236</v>
      </c>
      <c r="F12" s="13" t="s">
        <v>14</v>
      </c>
      <c r="G12" s="132">
        <v>135859</v>
      </c>
      <c r="H12" s="135">
        <v>129830</v>
      </c>
      <c r="I12" s="131">
        <v>265689</v>
      </c>
      <c r="J12" s="6"/>
      <c r="L12" s="28"/>
      <c r="M12" s="13" t="s">
        <v>8</v>
      </c>
      <c r="N12" s="106">
        <f>SUM(N5:N11)</f>
        <v>44482</v>
      </c>
      <c r="O12" s="107">
        <f>SUM(O5:O11)</f>
        <v>841634</v>
      </c>
      <c r="P12" s="28"/>
    </row>
    <row r="13" spans="1:24" x14ac:dyDescent="0.3">
      <c r="A13" s="13" t="s">
        <v>15</v>
      </c>
      <c r="B13" s="15">
        <v>106088</v>
      </c>
      <c r="C13" s="19">
        <v>110237</v>
      </c>
      <c r="D13" s="16">
        <f t="shared" si="1"/>
        <v>216325</v>
      </c>
      <c r="F13" s="13" t="s">
        <v>15</v>
      </c>
      <c r="G13" s="132">
        <v>118554</v>
      </c>
      <c r="H13" s="135">
        <v>117439</v>
      </c>
      <c r="I13" s="131">
        <v>235993</v>
      </c>
      <c r="J13" s="6"/>
      <c r="L13" s="28"/>
      <c r="M13" s="18" t="s">
        <v>35</v>
      </c>
      <c r="N13" s="28"/>
      <c r="O13" s="28"/>
      <c r="P13" s="28"/>
    </row>
    <row r="14" spans="1:24" x14ac:dyDescent="0.3">
      <c r="A14" s="13" t="s">
        <v>16</v>
      </c>
      <c r="B14" s="15">
        <v>103371</v>
      </c>
      <c r="C14" s="19">
        <v>108399</v>
      </c>
      <c r="D14" s="16">
        <f t="shared" si="1"/>
        <v>211770</v>
      </c>
      <c r="F14" s="13" t="s">
        <v>16</v>
      </c>
      <c r="G14" s="132">
        <v>102429</v>
      </c>
      <c r="H14" s="135">
        <v>110002</v>
      </c>
      <c r="I14" s="131">
        <v>212431</v>
      </c>
      <c r="J14" s="6"/>
      <c r="L14" s="28"/>
      <c r="M14" s="28"/>
      <c r="N14" s="34"/>
      <c r="O14" s="28"/>
      <c r="P14" s="28"/>
    </row>
    <row r="15" spans="1:24" x14ac:dyDescent="0.3">
      <c r="A15" s="13" t="s">
        <v>17</v>
      </c>
      <c r="B15" s="15">
        <v>86374</v>
      </c>
      <c r="C15" s="19">
        <v>91180</v>
      </c>
      <c r="D15" s="16">
        <f t="shared" si="1"/>
        <v>177554</v>
      </c>
      <c r="F15" s="13" t="s">
        <v>17</v>
      </c>
      <c r="G15" s="132">
        <v>97705</v>
      </c>
      <c r="H15" s="135">
        <v>107869</v>
      </c>
      <c r="I15" s="131">
        <v>205574</v>
      </c>
      <c r="J15" s="6"/>
      <c r="L15" s="148" t="s">
        <v>37</v>
      </c>
      <c r="M15" s="148"/>
      <c r="N15" s="148"/>
      <c r="O15" s="148"/>
      <c r="P15" s="148"/>
      <c r="Q15" s="148"/>
      <c r="R15" s="148"/>
      <c r="S15" s="148"/>
    </row>
    <row r="16" spans="1:24" ht="14.5" thickBot="1" x14ac:dyDescent="0.35">
      <c r="A16" s="13" t="s">
        <v>18</v>
      </c>
      <c r="B16" s="15">
        <v>72906</v>
      </c>
      <c r="C16" s="19">
        <v>77365</v>
      </c>
      <c r="D16" s="16">
        <f t="shared" si="1"/>
        <v>150271</v>
      </c>
      <c r="F16" s="13" t="s">
        <v>18</v>
      </c>
      <c r="G16" s="132">
        <v>94965</v>
      </c>
      <c r="H16" s="135">
        <v>101612</v>
      </c>
      <c r="I16" s="131">
        <v>196577</v>
      </c>
      <c r="J16" s="6"/>
      <c r="L16" s="35" t="s">
        <v>12</v>
      </c>
      <c r="M16" s="36"/>
      <c r="N16" s="36"/>
      <c r="O16" s="36"/>
      <c r="Q16" s="36"/>
      <c r="R16" s="36"/>
      <c r="S16" s="36"/>
    </row>
    <row r="17" spans="1:19" ht="16.5" thickBot="1" x14ac:dyDescent="0.35">
      <c r="A17" s="13" t="s">
        <v>19</v>
      </c>
      <c r="B17" s="15">
        <v>60909</v>
      </c>
      <c r="C17" s="15">
        <v>65052</v>
      </c>
      <c r="D17" s="16">
        <f t="shared" si="1"/>
        <v>125961</v>
      </c>
      <c r="F17" s="13" t="s">
        <v>19</v>
      </c>
      <c r="G17" s="132">
        <v>82978</v>
      </c>
      <c r="H17" s="132">
        <v>86508</v>
      </c>
      <c r="I17" s="131">
        <v>169486</v>
      </c>
      <c r="J17" s="6"/>
      <c r="L17" s="137" t="s">
        <v>32</v>
      </c>
      <c r="M17" s="37" t="s">
        <v>39</v>
      </c>
      <c r="N17" s="37" t="s">
        <v>33</v>
      </c>
      <c r="O17" s="37" t="s">
        <v>34</v>
      </c>
      <c r="Q17" s="37" t="s">
        <v>39</v>
      </c>
      <c r="R17" s="37" t="s">
        <v>40</v>
      </c>
      <c r="S17" s="38" t="s">
        <v>91</v>
      </c>
    </row>
    <row r="18" spans="1:19" x14ac:dyDescent="0.3">
      <c r="A18" s="13" t="s">
        <v>20</v>
      </c>
      <c r="B18" s="15">
        <v>46924</v>
      </c>
      <c r="C18" s="15">
        <v>48197</v>
      </c>
      <c r="D18" s="16">
        <f t="shared" si="1"/>
        <v>95121</v>
      </c>
      <c r="F18" s="13" t="s">
        <v>20</v>
      </c>
      <c r="G18" s="132">
        <v>68640</v>
      </c>
      <c r="H18" s="132">
        <v>71029</v>
      </c>
      <c r="I18" s="131">
        <v>139669</v>
      </c>
      <c r="J18" s="6"/>
      <c r="L18" s="39">
        <v>40264</v>
      </c>
      <c r="M18" s="40">
        <f>2000+7/12+1/365</f>
        <v>2000.5860730593606</v>
      </c>
      <c r="N18" s="41">
        <f>C10</f>
        <v>129465</v>
      </c>
      <c r="O18" s="141">
        <f>LN(N19/N18)/M20</f>
        <v>6.7718710966453224E-3</v>
      </c>
      <c r="Q18" s="143">
        <f>2010+6/12+0/365</f>
        <v>2010.5</v>
      </c>
      <c r="R18" s="143">
        <f>Q18-M18</f>
        <v>9.9139269406393851</v>
      </c>
      <c r="S18" s="145">
        <f>N18*EXP(O18*R18)</f>
        <v>138455.14490123698</v>
      </c>
    </row>
    <row r="19" spans="1:19" ht="14.5" thickBot="1" x14ac:dyDescent="0.35">
      <c r="A19" s="13" t="s">
        <v>21</v>
      </c>
      <c r="B19" s="15">
        <v>37467</v>
      </c>
      <c r="C19" s="15">
        <v>40060</v>
      </c>
      <c r="D19" s="16">
        <f t="shared" si="1"/>
        <v>77527</v>
      </c>
      <c r="F19" s="13" t="s">
        <v>21</v>
      </c>
      <c r="G19" s="132">
        <v>52499</v>
      </c>
      <c r="H19" s="132">
        <v>54587</v>
      </c>
      <c r="I19" s="131">
        <v>107086</v>
      </c>
      <c r="J19" s="6"/>
      <c r="L19" s="1">
        <v>2019</v>
      </c>
      <c r="M19" s="43">
        <f>2010+7/12+31/365</f>
        <v>2010.6682648401825</v>
      </c>
      <c r="N19" s="44">
        <f>H10</f>
        <v>138613</v>
      </c>
      <c r="O19" s="142"/>
      <c r="Q19" s="144"/>
      <c r="R19" s="144"/>
      <c r="S19" s="146"/>
    </row>
    <row r="20" spans="1:19" ht="16" thickBot="1" x14ac:dyDescent="0.35">
      <c r="A20" s="13" t="s">
        <v>22</v>
      </c>
      <c r="B20" s="15">
        <v>26827</v>
      </c>
      <c r="C20" s="15">
        <v>28840</v>
      </c>
      <c r="D20" s="16">
        <f t="shared" si="1"/>
        <v>55667</v>
      </c>
      <c r="F20" s="13" t="s">
        <v>22</v>
      </c>
      <c r="G20" s="132">
        <v>37388</v>
      </c>
      <c r="H20" s="132">
        <v>39619</v>
      </c>
      <c r="I20" s="131">
        <v>77007</v>
      </c>
      <c r="J20" s="6"/>
      <c r="L20" s="45" t="s">
        <v>40</v>
      </c>
      <c r="M20" s="46">
        <f>M19-M18</f>
        <v>10.082191780821859</v>
      </c>
      <c r="N20" s="28"/>
      <c r="O20" s="28"/>
    </row>
    <row r="21" spans="1:19" x14ac:dyDescent="0.3">
      <c r="A21" s="13" t="s">
        <v>23</v>
      </c>
      <c r="B21" s="15">
        <v>20407</v>
      </c>
      <c r="C21" s="15">
        <v>22425</v>
      </c>
      <c r="D21" s="16">
        <f t="shared" si="1"/>
        <v>42832</v>
      </c>
      <c r="F21" s="13" t="s">
        <v>23</v>
      </c>
      <c r="G21" s="132">
        <v>27306</v>
      </c>
      <c r="H21" s="132">
        <v>29758</v>
      </c>
      <c r="I21" s="131">
        <v>57064</v>
      </c>
      <c r="J21" s="6"/>
      <c r="L21" s="28"/>
      <c r="M21" s="28"/>
      <c r="N21" s="28"/>
    </row>
    <row r="22" spans="1:19" ht="14.5" thickBot="1" x14ac:dyDescent="0.35">
      <c r="A22" s="13" t="s">
        <v>24</v>
      </c>
      <c r="B22" s="15">
        <v>13197</v>
      </c>
      <c r="C22" s="15">
        <v>14413</v>
      </c>
      <c r="D22" s="16">
        <f t="shared" si="1"/>
        <v>27610</v>
      </c>
      <c r="F22" s="13" t="s">
        <v>24</v>
      </c>
      <c r="G22" s="132">
        <v>18326</v>
      </c>
      <c r="H22" s="132">
        <v>20785</v>
      </c>
      <c r="I22" s="131">
        <v>39111</v>
      </c>
      <c r="J22" s="6"/>
      <c r="L22" s="35" t="s">
        <v>13</v>
      </c>
      <c r="M22" s="36"/>
      <c r="N22" s="36"/>
      <c r="O22" s="36"/>
      <c r="Q22" s="36"/>
      <c r="R22" s="36"/>
      <c r="S22" s="36"/>
    </row>
    <row r="23" spans="1:19" ht="16.5" thickBot="1" x14ac:dyDescent="0.35">
      <c r="A23" s="13" t="s">
        <v>25</v>
      </c>
      <c r="B23" s="15">
        <v>7645</v>
      </c>
      <c r="C23" s="15">
        <v>9431</v>
      </c>
      <c r="D23" s="16">
        <f t="shared" si="1"/>
        <v>17076</v>
      </c>
      <c r="F23" s="13" t="s">
        <v>25</v>
      </c>
      <c r="G23" s="132">
        <v>10678</v>
      </c>
      <c r="H23" s="132">
        <v>12658</v>
      </c>
      <c r="I23" s="131">
        <v>23336</v>
      </c>
      <c r="J23" s="6"/>
      <c r="L23" s="137" t="s">
        <v>32</v>
      </c>
      <c r="M23" s="37" t="s">
        <v>39</v>
      </c>
      <c r="N23" s="37" t="s">
        <v>33</v>
      </c>
      <c r="O23" s="37" t="s">
        <v>34</v>
      </c>
      <c r="Q23" s="37" t="s">
        <v>39</v>
      </c>
      <c r="R23" s="37" t="s">
        <v>40</v>
      </c>
      <c r="S23" s="38" t="s">
        <v>91</v>
      </c>
    </row>
    <row r="24" spans="1:19" x14ac:dyDescent="0.3">
      <c r="A24" s="13" t="s">
        <v>6</v>
      </c>
      <c r="B24" s="15">
        <v>5614</v>
      </c>
      <c r="C24" s="15">
        <v>7618</v>
      </c>
      <c r="D24" s="16">
        <f t="shared" si="1"/>
        <v>13232</v>
      </c>
      <c r="F24" s="13" t="s">
        <v>6</v>
      </c>
      <c r="G24" s="132">
        <v>7809</v>
      </c>
      <c r="H24" s="132">
        <v>9922</v>
      </c>
      <c r="I24" s="131">
        <v>17731</v>
      </c>
      <c r="J24" s="6"/>
      <c r="L24" s="39">
        <f>L18</f>
        <v>40264</v>
      </c>
      <c r="M24" s="40">
        <f>M18</f>
        <v>2000.5860730593606</v>
      </c>
      <c r="N24" s="41">
        <f>C11</f>
        <v>114689</v>
      </c>
      <c r="O24" s="141">
        <f>LN(N25/N24)/M26</f>
        <v>1.7100126631985884E-2</v>
      </c>
      <c r="Q24" s="143">
        <f>Q18</f>
        <v>2010.5</v>
      </c>
      <c r="R24" s="143">
        <f>Q24-M24</f>
        <v>9.9139269406393851</v>
      </c>
      <c r="S24" s="145">
        <f>N24*EXP(O24*R24)</f>
        <v>135877.4699373082</v>
      </c>
    </row>
    <row r="25" spans="1:19" ht="14.5" thickBot="1" x14ac:dyDescent="0.35">
      <c r="A25" s="10" t="s">
        <v>8</v>
      </c>
      <c r="B25" s="11">
        <f>SUM(B7:B24)</f>
        <v>1345179</v>
      </c>
      <c r="C25" s="11">
        <f>SUM(C7:C24)</f>
        <v>1365252</v>
      </c>
      <c r="D25" s="12">
        <f>SUM(D7:D24)</f>
        <v>2710431</v>
      </c>
      <c r="F25" s="10" t="s">
        <v>8</v>
      </c>
      <c r="G25" s="11">
        <f>SUM(G7:G24)</f>
        <v>1577501</v>
      </c>
      <c r="H25" s="11">
        <f>SUM(H7:H24)</f>
        <v>1584964</v>
      </c>
      <c r="I25" s="12">
        <f>SUM(I7:I24)</f>
        <v>3162465</v>
      </c>
      <c r="J25" s="6"/>
      <c r="L25" s="136">
        <v>2019</v>
      </c>
      <c r="M25" s="43">
        <f>M19</f>
        <v>2010.6682648401825</v>
      </c>
      <c r="N25" s="44">
        <f>H11</f>
        <v>136269</v>
      </c>
      <c r="O25" s="142"/>
      <c r="Q25" s="144"/>
      <c r="R25" s="144"/>
      <c r="S25" s="146"/>
    </row>
    <row r="26" spans="1:19" ht="16" thickBot="1" x14ac:dyDescent="0.35">
      <c r="A26" s="2"/>
      <c r="B26" s="3"/>
      <c r="C26" s="3"/>
      <c r="L26" s="45" t="s">
        <v>40</v>
      </c>
      <c r="M26" s="46">
        <f>M25-M24</f>
        <v>10.082191780821859</v>
      </c>
      <c r="N26" s="28"/>
      <c r="O26" s="28"/>
    </row>
    <row r="27" spans="1:19" x14ac:dyDescent="0.3">
      <c r="A27" s="2"/>
      <c r="B27" s="3"/>
      <c r="C27" s="3"/>
      <c r="L27" s="28"/>
      <c r="M27" s="28"/>
      <c r="N27" s="28"/>
    </row>
    <row r="28" spans="1:19" ht="14.5" thickBot="1" x14ac:dyDescent="0.35">
      <c r="A28" s="18" t="s">
        <v>7</v>
      </c>
      <c r="B28" s="3"/>
      <c r="C28" s="3"/>
      <c r="L28" s="35" t="s">
        <v>14</v>
      </c>
      <c r="M28" s="36"/>
      <c r="N28" s="36"/>
      <c r="O28" s="36"/>
      <c r="Q28" s="36"/>
      <c r="R28" s="36"/>
      <c r="S28" s="36"/>
    </row>
    <row r="29" spans="1:19" ht="16.5" thickBot="1" x14ac:dyDescent="0.35">
      <c r="A29" s="18" t="s">
        <v>3</v>
      </c>
      <c r="L29" s="37" t="s">
        <v>32</v>
      </c>
      <c r="M29" s="37" t="s">
        <v>39</v>
      </c>
      <c r="N29" s="37" t="s">
        <v>33</v>
      </c>
      <c r="O29" s="37" t="s">
        <v>34</v>
      </c>
      <c r="Q29" s="37" t="s">
        <v>39</v>
      </c>
      <c r="R29" s="37" t="s">
        <v>40</v>
      </c>
      <c r="S29" s="38" t="s">
        <v>91</v>
      </c>
    </row>
    <row r="30" spans="1:19" x14ac:dyDescent="0.3">
      <c r="L30" s="39">
        <f>L24</f>
        <v>40264</v>
      </c>
      <c r="M30" s="40">
        <f>M24</f>
        <v>2000.5860730593606</v>
      </c>
      <c r="N30" s="41">
        <f>C12</f>
        <v>106006</v>
      </c>
      <c r="O30" s="141">
        <f>LN(N31/N30)/M32</f>
        <v>2.0107751419098412E-2</v>
      </c>
      <c r="Q30" s="143">
        <f>Q24</f>
        <v>2010.5</v>
      </c>
      <c r="R30" s="143">
        <f>Q30-M30</f>
        <v>9.9139269406393851</v>
      </c>
      <c r="S30" s="145">
        <f>N30*EXP(O30*R30)</f>
        <v>129391.4718798316</v>
      </c>
    </row>
    <row r="31" spans="1:19" ht="14.5" thickBot="1" x14ac:dyDescent="0.35">
      <c r="A31" s="148" t="s">
        <v>31</v>
      </c>
      <c r="B31" s="148"/>
      <c r="C31" s="148"/>
      <c r="D31" s="148"/>
      <c r="E31" s="148"/>
      <c r="F31" s="148"/>
      <c r="G31" s="148"/>
      <c r="H31" s="148"/>
      <c r="L31" s="136">
        <v>2019</v>
      </c>
      <c r="M31" s="43">
        <f>M25</f>
        <v>2010.6682648401825</v>
      </c>
      <c r="N31" s="44">
        <f>H12</f>
        <v>129830</v>
      </c>
      <c r="O31" s="142"/>
      <c r="Q31" s="144"/>
      <c r="R31" s="144"/>
      <c r="S31" s="146"/>
    </row>
    <row r="32" spans="1:19" ht="16" thickBot="1" x14ac:dyDescent="0.35">
      <c r="A32" s="35" t="s">
        <v>12</v>
      </c>
      <c r="B32" s="36"/>
      <c r="C32" s="36"/>
      <c r="D32" s="36"/>
      <c r="F32" s="36"/>
      <c r="G32" s="36"/>
      <c r="H32" s="36"/>
      <c r="L32" s="45" t="s">
        <v>40</v>
      </c>
      <c r="M32" s="46">
        <f>M31-M30</f>
        <v>10.082191780821859</v>
      </c>
      <c r="N32" s="28"/>
      <c r="O32" s="28"/>
    </row>
    <row r="33" spans="1:19" ht="16.5" thickBot="1" x14ac:dyDescent="0.35">
      <c r="A33" s="37" t="s">
        <v>32</v>
      </c>
      <c r="B33" s="37" t="s">
        <v>39</v>
      </c>
      <c r="C33" s="37" t="s">
        <v>33</v>
      </c>
      <c r="D33" s="37" t="s">
        <v>34</v>
      </c>
      <c r="F33" s="37" t="s">
        <v>39</v>
      </c>
      <c r="G33" s="37" t="s">
        <v>40</v>
      </c>
      <c r="H33" s="38" t="s">
        <v>91</v>
      </c>
      <c r="L33" s="28"/>
      <c r="M33" s="28"/>
      <c r="N33" s="28"/>
    </row>
    <row r="34" spans="1:19" ht="14.5" thickBot="1" x14ac:dyDescent="0.35">
      <c r="A34" s="49">
        <v>40264</v>
      </c>
      <c r="B34" s="40">
        <f>2000+7/12+1/365</f>
        <v>2000.5860730593606</v>
      </c>
      <c r="C34" s="41">
        <f>D25</f>
        <v>2710431</v>
      </c>
      <c r="D34" s="141">
        <f>LN(C35/C34)/B36</f>
        <v>1.5298669903871435E-2</v>
      </c>
      <c r="F34" s="143">
        <f>2010+6/12+0/365</f>
        <v>2010.5</v>
      </c>
      <c r="G34" s="143">
        <f>F34-B34</f>
        <v>9.9139269406393851</v>
      </c>
      <c r="H34" s="150">
        <f>C34*EXP($D$34*G34)</f>
        <v>3154334.5625594687</v>
      </c>
      <c r="L34" s="35" t="s">
        <v>15</v>
      </c>
      <c r="M34" s="36"/>
      <c r="N34" s="36"/>
      <c r="O34" s="36"/>
      <c r="Q34" s="36"/>
      <c r="R34" s="36"/>
      <c r="S34" s="36"/>
    </row>
    <row r="35" spans="1:19" ht="16.5" thickBot="1" x14ac:dyDescent="0.35">
      <c r="A35" s="37">
        <v>2019</v>
      </c>
      <c r="B35" s="43">
        <f>2010+7/12+31/365</f>
        <v>2010.6682648401825</v>
      </c>
      <c r="C35" s="44">
        <f>I25</f>
        <v>3162465</v>
      </c>
      <c r="D35" s="142"/>
      <c r="F35" s="144"/>
      <c r="G35" s="144"/>
      <c r="H35" s="151"/>
      <c r="L35" s="37" t="s">
        <v>32</v>
      </c>
      <c r="M35" s="37" t="s">
        <v>39</v>
      </c>
      <c r="N35" s="37" t="s">
        <v>33</v>
      </c>
      <c r="O35" s="37" t="s">
        <v>34</v>
      </c>
      <c r="Q35" s="37" t="s">
        <v>39</v>
      </c>
      <c r="R35" s="37" t="s">
        <v>40</v>
      </c>
      <c r="S35" s="38" t="s">
        <v>91</v>
      </c>
    </row>
    <row r="36" spans="1:19" ht="16" thickBot="1" x14ac:dyDescent="0.35">
      <c r="A36" s="45" t="s">
        <v>40</v>
      </c>
      <c r="B36" s="46">
        <f>B35-B34</f>
        <v>10.082191780821859</v>
      </c>
      <c r="C36" s="28"/>
      <c r="D36" s="28"/>
      <c r="L36" s="39">
        <f>L30</f>
        <v>40264</v>
      </c>
      <c r="M36" s="40">
        <f>M30</f>
        <v>2000.5860730593606</v>
      </c>
      <c r="N36" s="41">
        <f>C13</f>
        <v>110237</v>
      </c>
      <c r="O36" s="141">
        <f>LN(N37/N36)/M38</f>
        <v>6.2770534103096026E-3</v>
      </c>
      <c r="Q36" s="143">
        <f>Q30</f>
        <v>2010.5</v>
      </c>
      <c r="R36" s="143">
        <f>Q36-M36</f>
        <v>9.9139269406393851</v>
      </c>
      <c r="S36" s="145">
        <f>N36*EXP(O36*R36)</f>
        <v>117315.02554334846</v>
      </c>
    </row>
    <row r="37" spans="1:19" ht="14.5" thickBot="1" x14ac:dyDescent="0.35">
      <c r="L37" s="136">
        <v>2019</v>
      </c>
      <c r="M37" s="43">
        <f>M31</f>
        <v>2010.6682648401825</v>
      </c>
      <c r="N37" s="44">
        <f>H13</f>
        <v>117439</v>
      </c>
      <c r="O37" s="142"/>
      <c r="Q37" s="144"/>
      <c r="R37" s="144"/>
      <c r="S37" s="146"/>
    </row>
    <row r="38" spans="1:19" ht="16" thickBot="1" x14ac:dyDescent="0.35">
      <c r="L38" s="45" t="s">
        <v>40</v>
      </c>
      <c r="M38" s="46">
        <f>M37-M36</f>
        <v>10.082191780821859</v>
      </c>
      <c r="N38" s="28"/>
      <c r="O38" s="28"/>
    </row>
    <row r="39" spans="1:19" x14ac:dyDescent="0.3">
      <c r="L39" s="28"/>
      <c r="M39" s="28"/>
      <c r="N39" s="28"/>
    </row>
    <row r="40" spans="1:19" ht="14.5" thickBot="1" x14ac:dyDescent="0.35">
      <c r="L40" s="35" t="s">
        <v>16</v>
      </c>
      <c r="M40" s="36"/>
      <c r="N40" s="36"/>
      <c r="O40" s="36"/>
      <c r="Q40" s="36"/>
      <c r="R40" s="36"/>
      <c r="S40" s="36"/>
    </row>
    <row r="41" spans="1:19" ht="16.5" thickBot="1" x14ac:dyDescent="0.35">
      <c r="L41" s="37" t="s">
        <v>32</v>
      </c>
      <c r="M41" s="37" t="s">
        <v>39</v>
      </c>
      <c r="N41" s="37" t="s">
        <v>33</v>
      </c>
      <c r="O41" s="37" t="s">
        <v>34</v>
      </c>
      <c r="Q41" s="37" t="s">
        <v>39</v>
      </c>
      <c r="R41" s="37" t="s">
        <v>40</v>
      </c>
      <c r="S41" s="38" t="s">
        <v>91</v>
      </c>
    </row>
    <row r="42" spans="1:19" x14ac:dyDescent="0.3">
      <c r="L42" s="39">
        <f>L36</f>
        <v>40264</v>
      </c>
      <c r="M42" s="40">
        <f>M36</f>
        <v>2000.5860730593606</v>
      </c>
      <c r="N42" s="41">
        <f>C14</f>
        <v>108399</v>
      </c>
      <c r="O42" s="141">
        <f>LN(N43/N42)/M44</f>
        <v>1.4560012241079173E-3</v>
      </c>
      <c r="Q42" s="143">
        <f>Q36</f>
        <v>2010.5</v>
      </c>
      <c r="R42" s="143">
        <f>Q42-M42</f>
        <v>9.9139269406393851</v>
      </c>
      <c r="S42" s="145">
        <f>N42*EXP(O42*R42)</f>
        <v>109975.05349155031</v>
      </c>
    </row>
    <row r="43" spans="1:19" ht="14.5" thickBot="1" x14ac:dyDescent="0.35">
      <c r="L43" s="136">
        <v>2019</v>
      </c>
      <c r="M43" s="43">
        <f>M37</f>
        <v>2010.6682648401825</v>
      </c>
      <c r="N43" s="44">
        <f>H14</f>
        <v>110002</v>
      </c>
      <c r="O43" s="142"/>
      <c r="Q43" s="144"/>
      <c r="R43" s="144"/>
      <c r="S43" s="146"/>
    </row>
    <row r="44" spans="1:19" ht="16" thickBot="1" x14ac:dyDescent="0.35">
      <c r="L44" s="45" t="s">
        <v>40</v>
      </c>
      <c r="M44" s="46">
        <f>M43-M42</f>
        <v>10.082191780821859</v>
      </c>
      <c r="N44" s="28"/>
      <c r="O44" s="28"/>
    </row>
    <row r="45" spans="1:19" x14ac:dyDescent="0.3">
      <c r="L45" s="28"/>
      <c r="M45" s="28"/>
      <c r="N45" s="28"/>
    </row>
    <row r="46" spans="1:19" ht="14.5" thickBot="1" x14ac:dyDescent="0.35">
      <c r="L46" s="35" t="s">
        <v>17</v>
      </c>
      <c r="M46" s="36"/>
      <c r="N46" s="36"/>
      <c r="O46" s="36"/>
      <c r="Q46" s="36"/>
      <c r="R46" s="36"/>
      <c r="S46" s="36"/>
    </row>
    <row r="47" spans="1:19" ht="16.5" thickBot="1" x14ac:dyDescent="0.35">
      <c r="L47" s="37" t="s">
        <v>32</v>
      </c>
      <c r="M47" s="37" t="s">
        <v>39</v>
      </c>
      <c r="N47" s="37" t="s">
        <v>33</v>
      </c>
      <c r="O47" s="37" t="s">
        <v>34</v>
      </c>
      <c r="Q47" s="37" t="s">
        <v>39</v>
      </c>
      <c r="R47" s="37" t="s">
        <v>40</v>
      </c>
      <c r="S47" s="38" t="s">
        <v>91</v>
      </c>
    </row>
    <row r="48" spans="1:19" x14ac:dyDescent="0.3">
      <c r="L48" s="39">
        <f>L42</f>
        <v>40264</v>
      </c>
      <c r="M48" s="40">
        <f>M42</f>
        <v>2000.5860730593606</v>
      </c>
      <c r="N48" s="41">
        <f>C15</f>
        <v>91180</v>
      </c>
      <c r="O48" s="141">
        <f>LN(N49/N48)/M50</f>
        <v>1.6671171982732755E-2</v>
      </c>
      <c r="Q48" s="143">
        <f>Q42</f>
        <v>2010.5</v>
      </c>
      <c r="R48" s="143">
        <f>Q48-M48</f>
        <v>9.9139269406393851</v>
      </c>
      <c r="S48" s="145">
        <f>N48*EXP(O48*R48)</f>
        <v>107566.83290539203</v>
      </c>
    </row>
    <row r="49" spans="12:19" ht="14.5" thickBot="1" x14ac:dyDescent="0.35">
      <c r="L49" s="136">
        <v>2019</v>
      </c>
      <c r="M49" s="43">
        <f>M43</f>
        <v>2010.6682648401825</v>
      </c>
      <c r="N49" s="44">
        <f>H15</f>
        <v>107869</v>
      </c>
      <c r="O49" s="142"/>
      <c r="Q49" s="144"/>
      <c r="R49" s="144"/>
      <c r="S49" s="146"/>
    </row>
    <row r="50" spans="12:19" ht="16" thickBot="1" x14ac:dyDescent="0.35">
      <c r="L50" s="45" t="s">
        <v>40</v>
      </c>
      <c r="M50" s="46">
        <f>M49-M48</f>
        <v>10.082191780821859</v>
      </c>
      <c r="N50" s="28"/>
      <c r="O50" s="28"/>
    </row>
    <row r="51" spans="12:19" x14ac:dyDescent="0.3">
      <c r="L51" s="28"/>
      <c r="M51" s="28"/>
      <c r="N51" s="28"/>
    </row>
    <row r="52" spans="12:19" ht="14.5" thickBot="1" x14ac:dyDescent="0.35">
      <c r="L52" s="35" t="s">
        <v>18</v>
      </c>
      <c r="M52" s="36"/>
      <c r="N52" s="36"/>
      <c r="O52" s="36"/>
      <c r="Q52" s="36"/>
      <c r="R52" s="36"/>
      <c r="S52" s="36"/>
    </row>
    <row r="53" spans="12:19" ht="16.5" thickBot="1" x14ac:dyDescent="0.35">
      <c r="L53" s="37" t="s">
        <v>32</v>
      </c>
      <c r="M53" s="37" t="s">
        <v>39</v>
      </c>
      <c r="N53" s="37" t="s">
        <v>33</v>
      </c>
      <c r="O53" s="37" t="s">
        <v>34</v>
      </c>
      <c r="Q53" s="37" t="s">
        <v>39</v>
      </c>
      <c r="R53" s="37" t="s">
        <v>40</v>
      </c>
      <c r="S53" s="38" t="s">
        <v>91</v>
      </c>
    </row>
    <row r="54" spans="12:19" x14ac:dyDescent="0.3">
      <c r="L54" s="39">
        <f>L18</f>
        <v>40264</v>
      </c>
      <c r="M54" s="40">
        <f>M48</f>
        <v>2000.5860730593606</v>
      </c>
      <c r="N54" s="41">
        <f>C16</f>
        <v>77365</v>
      </c>
      <c r="O54" s="141">
        <f>LN(N55/N54)/M56</f>
        <v>2.7040465247158571E-2</v>
      </c>
      <c r="Q54" s="143">
        <f>Q48</f>
        <v>2010.5</v>
      </c>
      <c r="R54" s="143">
        <f>Q54-M54</f>
        <v>9.9139269406393851</v>
      </c>
      <c r="S54" s="145">
        <f>N54*EXP(O54*R54)</f>
        <v>101150.71970798491</v>
      </c>
    </row>
    <row r="55" spans="12:19" ht="14.5" thickBot="1" x14ac:dyDescent="0.35">
      <c r="L55" s="136">
        <v>2019</v>
      </c>
      <c r="M55" s="43">
        <f>M49</f>
        <v>2010.6682648401825</v>
      </c>
      <c r="N55" s="44">
        <f>H16</f>
        <v>101612</v>
      </c>
      <c r="O55" s="142"/>
      <c r="Q55" s="144"/>
      <c r="R55" s="144"/>
      <c r="S55" s="146"/>
    </row>
    <row r="56" spans="12:19" ht="16" thickBot="1" x14ac:dyDescent="0.35">
      <c r="L56" s="45" t="s">
        <v>40</v>
      </c>
      <c r="M56" s="46">
        <f>M55-M54</f>
        <v>10.082191780821859</v>
      </c>
      <c r="N56" s="28"/>
      <c r="O56" s="28"/>
    </row>
  </sheetData>
  <mergeCells count="41">
    <mergeCell ref="O54:O55"/>
    <mergeCell ref="Q54:Q55"/>
    <mergeCell ref="R54:R55"/>
    <mergeCell ref="S54:S55"/>
    <mergeCell ref="O42:O43"/>
    <mergeCell ref="Q42:Q43"/>
    <mergeCell ref="R42:R43"/>
    <mergeCell ref="S42:S43"/>
    <mergeCell ref="O48:O49"/>
    <mergeCell ref="Q48:Q49"/>
    <mergeCell ref="R48:R49"/>
    <mergeCell ref="S48:S49"/>
    <mergeCell ref="S30:S31"/>
    <mergeCell ref="A31:H31"/>
    <mergeCell ref="O36:O37"/>
    <mergeCell ref="Q36:Q37"/>
    <mergeCell ref="R36:R37"/>
    <mergeCell ref="S36:S37"/>
    <mergeCell ref="D34:D35"/>
    <mergeCell ref="F34:F35"/>
    <mergeCell ref="G34:G35"/>
    <mergeCell ref="H34:H35"/>
    <mergeCell ref="L15:S15"/>
    <mergeCell ref="O18:O19"/>
    <mergeCell ref="Q18:Q19"/>
    <mergeCell ref="R18:R19"/>
    <mergeCell ref="S18:S19"/>
    <mergeCell ref="O24:O25"/>
    <mergeCell ref="Q24:Q25"/>
    <mergeCell ref="R24:R25"/>
    <mergeCell ref="S24:S25"/>
    <mergeCell ref="O30:O31"/>
    <mergeCell ref="Q30:Q31"/>
    <mergeCell ref="R30:R31"/>
    <mergeCell ref="A1:I1"/>
    <mergeCell ref="M1:O2"/>
    <mergeCell ref="Q4:S4"/>
    <mergeCell ref="A5:A6"/>
    <mergeCell ref="B5:D5"/>
    <mergeCell ref="F5:F6"/>
    <mergeCell ref="G5: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5D270-BBDB-4E73-B1D6-DCCFED0BF897}">
  <dimension ref="A1:M49"/>
  <sheetViews>
    <sheetView topLeftCell="A25" zoomScale="90" workbookViewId="0">
      <selection activeCell="O33" sqref="O33"/>
    </sheetView>
  </sheetViews>
  <sheetFormatPr baseColWidth="10" defaultRowHeight="14.5" x14ac:dyDescent="0.35"/>
  <sheetData>
    <row r="1" spans="1:13" x14ac:dyDescent="0.35">
      <c r="A1" s="112" t="s">
        <v>89</v>
      </c>
      <c r="B1" s="27"/>
      <c r="C1" s="28"/>
      <c r="D1" s="28"/>
      <c r="E1" s="28"/>
      <c r="F1" s="28"/>
      <c r="G1" s="28"/>
      <c r="H1" s="28"/>
      <c r="I1" s="28"/>
      <c r="J1" s="28"/>
      <c r="K1" s="28"/>
      <c r="L1" s="28"/>
      <c r="M1" s="28"/>
    </row>
    <row r="2" spans="1:13" x14ac:dyDescent="0.35">
      <c r="A2" s="112"/>
      <c r="B2" s="27"/>
      <c r="C2" s="28"/>
      <c r="D2" s="28"/>
      <c r="E2" s="28"/>
      <c r="F2" s="28"/>
      <c r="G2" s="28"/>
      <c r="H2" s="28"/>
      <c r="I2" s="28"/>
      <c r="J2" s="28"/>
      <c r="K2" s="28"/>
      <c r="L2" s="28"/>
      <c r="M2" s="28"/>
    </row>
    <row r="3" spans="1:13" ht="16" x14ac:dyDescent="0.35">
      <c r="A3" s="113" t="s">
        <v>77</v>
      </c>
      <c r="B3" s="113" t="s">
        <v>78</v>
      </c>
      <c r="C3" s="113" t="s">
        <v>79</v>
      </c>
      <c r="D3" s="113" t="s">
        <v>80</v>
      </c>
      <c r="E3" s="113" t="s">
        <v>81</v>
      </c>
      <c r="F3" s="113" t="s">
        <v>82</v>
      </c>
      <c r="G3" s="113" t="s">
        <v>83</v>
      </c>
      <c r="H3" s="113" t="s">
        <v>84</v>
      </c>
      <c r="I3" s="113" t="s">
        <v>85</v>
      </c>
      <c r="J3" s="113" t="s">
        <v>86</v>
      </c>
      <c r="K3" s="113" t="s">
        <v>87</v>
      </c>
      <c r="L3" s="113" t="s">
        <v>88</v>
      </c>
      <c r="M3" s="114"/>
    </row>
    <row r="4" spans="1:13" x14ac:dyDescent="0.35">
      <c r="A4" s="115">
        <v>0</v>
      </c>
      <c r="B4" s="115">
        <v>1</v>
      </c>
      <c r="C4" s="17">
        <v>24033</v>
      </c>
      <c r="D4" s="116">
        <v>247</v>
      </c>
      <c r="E4" s="117">
        <f>D4/C4</f>
        <v>1.0277535055964715E-2</v>
      </c>
      <c r="F4" s="118">
        <f>IF(E4&gt;=0.107,0.35,0.053+2.8*E4)</f>
        <v>8.17770981567012E-2</v>
      </c>
      <c r="G4" s="117">
        <f>(B4*E4)/(1+(B4-F4)*E4)</f>
        <v>1.0181452000457411E-2</v>
      </c>
      <c r="H4" s="117">
        <f>1-G4</f>
        <v>0.98981854799954261</v>
      </c>
      <c r="I4" s="119">
        <f>100000</f>
        <v>100000</v>
      </c>
      <c r="J4" s="119">
        <f>I4-I5</f>
        <v>1018.1452000457357</v>
      </c>
      <c r="K4" s="119">
        <f>(B4*I5)+(F4*J4)</f>
        <v>99065.115759916182</v>
      </c>
      <c r="L4" s="119">
        <f t="shared" ref="L4:L20" si="0">K4+L5</f>
        <v>7734608.6771235047</v>
      </c>
      <c r="M4" s="120">
        <f>L4/I4</f>
        <v>77.346086771235051</v>
      </c>
    </row>
    <row r="5" spans="1:13" x14ac:dyDescent="0.35">
      <c r="A5" s="121">
        <v>1</v>
      </c>
      <c r="B5" s="121">
        <v>4</v>
      </c>
      <c r="C5" s="15">
        <v>102924</v>
      </c>
      <c r="D5" s="116">
        <v>32</v>
      </c>
      <c r="E5" s="117">
        <f t="shared" ref="E5:E22" si="1">D5/C5</f>
        <v>3.1090902024794996E-4</v>
      </c>
      <c r="F5" s="118">
        <f>IF(E4&gt;=0.107,1.361,1.522-1.518*E4)</f>
        <v>1.5063987017850455</v>
      </c>
      <c r="G5" s="117">
        <f t="shared" ref="G5:G21" si="2">(B5*E5)/(1+(B5-F5)*E5)</f>
        <v>1.2426726578359689E-3</v>
      </c>
      <c r="H5" s="117">
        <f t="shared" ref="H5:H22" si="3">1-G5</f>
        <v>0.99875732734216405</v>
      </c>
      <c r="I5" s="119">
        <f>I4*H4</f>
        <v>98981.854799954264</v>
      </c>
      <c r="J5" s="119">
        <f>I5-I6</f>
        <v>123.0020445817936</v>
      </c>
      <c r="K5" s="119">
        <f t="shared" ref="K5:K21" si="4">(B5*I6)+(F5*J5)</f>
        <v>395620.70114176482</v>
      </c>
      <c r="L5" s="119">
        <f t="shared" si="0"/>
        <v>7635543.5613635881</v>
      </c>
      <c r="M5" s="120">
        <f t="shared" ref="M5:M22" si="5">L5/I5</f>
        <v>77.140841387497588</v>
      </c>
    </row>
    <row r="6" spans="1:13" x14ac:dyDescent="0.35">
      <c r="A6" s="121">
        <v>5</v>
      </c>
      <c r="B6" s="121">
        <v>5</v>
      </c>
      <c r="C6" s="15">
        <v>132878</v>
      </c>
      <c r="D6" s="116">
        <v>21</v>
      </c>
      <c r="E6" s="117">
        <f t="shared" si="1"/>
        <v>1.5803970559460557E-4</v>
      </c>
      <c r="F6" s="117">
        <v>2.5</v>
      </c>
      <c r="G6" s="117">
        <f t="shared" si="2"/>
        <v>7.8988644442020447E-4</v>
      </c>
      <c r="H6" s="117">
        <f t="shared" si="3"/>
        <v>0.99921011355557976</v>
      </c>
      <c r="I6" s="119">
        <f t="shared" ref="I6:I21" si="6">I5*H5</f>
        <v>98858.852755372471</v>
      </c>
      <c r="J6" s="119">
        <f t="shared" ref="J6:J22" si="7">I6-I7</f>
        <v>78.087267702401732</v>
      </c>
      <c r="K6" s="119">
        <f t="shared" si="4"/>
        <v>494099.04560760636</v>
      </c>
      <c r="L6" s="119">
        <f t="shared" si="0"/>
        <v>7239922.8602218237</v>
      </c>
      <c r="M6" s="120">
        <f t="shared" si="5"/>
        <v>73.234947184114176</v>
      </c>
    </row>
    <row r="7" spans="1:13" x14ac:dyDescent="0.35">
      <c r="A7" s="121">
        <v>10</v>
      </c>
      <c r="B7" s="121">
        <v>5</v>
      </c>
      <c r="C7" s="15">
        <v>132040</v>
      </c>
      <c r="D7" s="116">
        <v>40</v>
      </c>
      <c r="E7" s="117">
        <f t="shared" si="1"/>
        <v>3.0293850348379279E-4</v>
      </c>
      <c r="F7" s="117">
        <v>2.5</v>
      </c>
      <c r="G7" s="117">
        <f t="shared" si="2"/>
        <v>1.5135462388375968E-3</v>
      </c>
      <c r="H7" s="117">
        <f t="shared" si="3"/>
        <v>0.99848645376116241</v>
      </c>
      <c r="I7" s="119">
        <f t="shared" si="6"/>
        <v>98780.765487670069</v>
      </c>
      <c r="J7" s="119">
        <f t="shared" si="7"/>
        <v>149.50925607336103</v>
      </c>
      <c r="K7" s="119">
        <f t="shared" si="4"/>
        <v>493530.05429816694</v>
      </c>
      <c r="L7" s="119">
        <f t="shared" si="0"/>
        <v>6745823.8146142177</v>
      </c>
      <c r="M7" s="120">
        <f t="shared" si="5"/>
        <v>68.290863927919645</v>
      </c>
    </row>
    <row r="8" spans="1:13" x14ac:dyDescent="0.35">
      <c r="A8" s="115">
        <v>15</v>
      </c>
      <c r="B8" s="121">
        <v>5</v>
      </c>
      <c r="C8" s="15">
        <v>129465</v>
      </c>
      <c r="D8" s="116">
        <v>56</v>
      </c>
      <c r="E8" s="117">
        <f t="shared" si="1"/>
        <v>4.3254933765882669E-4</v>
      </c>
      <c r="F8" s="117">
        <v>2.5</v>
      </c>
      <c r="G8" s="117">
        <f t="shared" si="2"/>
        <v>2.1604104779908186E-3</v>
      </c>
      <c r="H8" s="117">
        <f t="shared" si="3"/>
        <v>0.99783958952200913</v>
      </c>
      <c r="I8" s="119">
        <f t="shared" si="6"/>
        <v>98631.256231596708</v>
      </c>
      <c r="J8" s="119">
        <f t="shared" si="7"/>
        <v>213.08399942013784</v>
      </c>
      <c r="K8" s="119">
        <f t="shared" si="4"/>
        <v>492623.57115943322</v>
      </c>
      <c r="L8" s="119">
        <f t="shared" si="0"/>
        <v>6252293.7603160506</v>
      </c>
      <c r="M8" s="120">
        <f t="shared" si="5"/>
        <v>63.390592386200559</v>
      </c>
    </row>
    <row r="9" spans="1:13" x14ac:dyDescent="0.35">
      <c r="A9" s="115">
        <v>20</v>
      </c>
      <c r="B9" s="121">
        <v>5</v>
      </c>
      <c r="C9" s="15">
        <v>114689</v>
      </c>
      <c r="D9" s="116">
        <v>51</v>
      </c>
      <c r="E9" s="117">
        <f t="shared" si="1"/>
        <v>4.4468083251227231E-4</v>
      </c>
      <c r="F9" s="117">
        <v>2.5</v>
      </c>
      <c r="G9" s="117">
        <f t="shared" si="2"/>
        <v>2.2209351443390102E-3</v>
      </c>
      <c r="H9" s="117">
        <f t="shared" si="3"/>
        <v>0.99777906485566104</v>
      </c>
      <c r="I9" s="119">
        <f t="shared" si="6"/>
        <v>98418.17223217657</v>
      </c>
      <c r="J9" s="119">
        <f t="shared" si="7"/>
        <v>218.58037755204714</v>
      </c>
      <c r="K9" s="119">
        <f t="shared" si="4"/>
        <v>491544.41021700273</v>
      </c>
      <c r="L9" s="119">
        <f t="shared" si="0"/>
        <v>5759670.189156617</v>
      </c>
      <c r="M9" s="120">
        <f t="shared" si="5"/>
        <v>58.522425874452139</v>
      </c>
    </row>
    <row r="10" spans="1:13" x14ac:dyDescent="0.35">
      <c r="A10" s="115">
        <v>25</v>
      </c>
      <c r="B10" s="121">
        <v>5</v>
      </c>
      <c r="C10" s="15">
        <v>106006</v>
      </c>
      <c r="D10" s="116">
        <v>67</v>
      </c>
      <c r="E10" s="117">
        <f t="shared" si="1"/>
        <v>6.3203969586627176E-4</v>
      </c>
      <c r="F10" s="117">
        <v>2.5</v>
      </c>
      <c r="G10" s="117">
        <f t="shared" si="2"/>
        <v>3.15521292978003E-3</v>
      </c>
      <c r="H10" s="117">
        <f t="shared" si="3"/>
        <v>0.99684478707021995</v>
      </c>
      <c r="I10" s="119">
        <f t="shared" si="6"/>
        <v>98199.591854624523</v>
      </c>
      <c r="J10" s="119">
        <f t="shared" si="7"/>
        <v>309.84062191883277</v>
      </c>
      <c r="K10" s="119">
        <f t="shared" si="4"/>
        <v>490223.35771832551</v>
      </c>
      <c r="L10" s="119">
        <f t="shared" si="0"/>
        <v>5268125.7789396141</v>
      </c>
      <c r="M10" s="120">
        <f t="shared" si="5"/>
        <v>53.647124997612927</v>
      </c>
    </row>
    <row r="11" spans="1:13" x14ac:dyDescent="0.35">
      <c r="A11" s="115">
        <v>30</v>
      </c>
      <c r="B11" s="121">
        <v>5</v>
      </c>
      <c r="C11" s="15">
        <v>110237</v>
      </c>
      <c r="D11" s="116">
        <v>90</v>
      </c>
      <c r="E11" s="117">
        <f t="shared" si="1"/>
        <v>8.1642279815307024E-4</v>
      </c>
      <c r="F11" s="117">
        <v>2.5</v>
      </c>
      <c r="G11" s="117">
        <f t="shared" si="2"/>
        <v>4.0737991345440065E-3</v>
      </c>
      <c r="H11" s="117">
        <f t="shared" si="3"/>
        <v>0.99592620086545602</v>
      </c>
      <c r="I11" s="119">
        <f t="shared" si="6"/>
        <v>97889.75123270569</v>
      </c>
      <c r="J11" s="119">
        <f t="shared" si="7"/>
        <v>398.78318385251623</v>
      </c>
      <c r="K11" s="119">
        <f t="shared" si="4"/>
        <v>488451.79820389714</v>
      </c>
      <c r="L11" s="119">
        <f t="shared" si="0"/>
        <v>4777902.4212212889</v>
      </c>
      <c r="M11" s="120">
        <f t="shared" si="5"/>
        <v>48.809015867893599</v>
      </c>
    </row>
    <row r="12" spans="1:13" x14ac:dyDescent="0.35">
      <c r="A12" s="115">
        <v>35</v>
      </c>
      <c r="B12" s="121">
        <v>5</v>
      </c>
      <c r="C12" s="15">
        <v>108399</v>
      </c>
      <c r="D12" s="116">
        <v>118</v>
      </c>
      <c r="E12" s="117">
        <f t="shared" si="1"/>
        <v>1.0885709277760865E-3</v>
      </c>
      <c r="F12" s="117">
        <v>2.5</v>
      </c>
      <c r="G12" s="117">
        <f t="shared" si="2"/>
        <v>5.4280825068541037E-3</v>
      </c>
      <c r="H12" s="117">
        <f t="shared" si="3"/>
        <v>0.99457191749314589</v>
      </c>
      <c r="I12" s="119">
        <f t="shared" si="6"/>
        <v>97490.968048853174</v>
      </c>
      <c r="J12" s="119">
        <f t="shared" si="7"/>
        <v>529.18901824225031</v>
      </c>
      <c r="K12" s="119">
        <f t="shared" si="4"/>
        <v>486131.86769866024</v>
      </c>
      <c r="L12" s="119">
        <f t="shared" si="0"/>
        <v>4289450.6230173921</v>
      </c>
      <c r="M12" s="120">
        <f t="shared" si="5"/>
        <v>43.998441177319407</v>
      </c>
    </row>
    <row r="13" spans="1:13" x14ac:dyDescent="0.35">
      <c r="A13" s="115">
        <v>40</v>
      </c>
      <c r="B13" s="121">
        <v>5</v>
      </c>
      <c r="C13" s="15">
        <v>91180</v>
      </c>
      <c r="D13" s="116">
        <v>141</v>
      </c>
      <c r="E13" s="117">
        <f t="shared" si="1"/>
        <v>1.5463917525773195E-3</v>
      </c>
      <c r="F13" s="117">
        <v>2.5</v>
      </c>
      <c r="G13" s="117">
        <f t="shared" si="2"/>
        <v>7.702182284980744E-3</v>
      </c>
      <c r="H13" s="117">
        <f t="shared" si="3"/>
        <v>0.99229781771501924</v>
      </c>
      <c r="I13" s="119">
        <f t="shared" si="6"/>
        <v>96961.779030610924</v>
      </c>
      <c r="J13" s="119">
        <f t="shared" si="7"/>
        <v>746.81729676979012</v>
      </c>
      <c r="K13" s="119">
        <f t="shared" si="4"/>
        <v>482941.85191113013</v>
      </c>
      <c r="L13" s="119">
        <f t="shared" si="0"/>
        <v>3803318.755318732</v>
      </c>
      <c r="M13" s="120">
        <f t="shared" si="5"/>
        <v>39.224927526525896</v>
      </c>
    </row>
    <row r="14" spans="1:13" x14ac:dyDescent="0.35">
      <c r="A14" s="115">
        <v>45</v>
      </c>
      <c r="B14" s="121">
        <v>5</v>
      </c>
      <c r="C14" s="15">
        <v>77365</v>
      </c>
      <c r="D14" s="116">
        <v>234</v>
      </c>
      <c r="E14" s="117">
        <f t="shared" si="1"/>
        <v>3.0246235377754797E-3</v>
      </c>
      <c r="F14" s="117">
        <v>2.5</v>
      </c>
      <c r="G14" s="117">
        <f t="shared" si="2"/>
        <v>1.50096215522771E-2</v>
      </c>
      <c r="H14" s="117">
        <f t="shared" si="3"/>
        <v>0.98499037844772286</v>
      </c>
      <c r="I14" s="119">
        <f t="shared" si="6"/>
        <v>96214.961733841134</v>
      </c>
      <c r="J14" s="119">
        <f t="shared" si="7"/>
        <v>1444.1501632917789</v>
      </c>
      <c r="K14" s="119">
        <f t="shared" si="4"/>
        <v>477464.43326097622</v>
      </c>
      <c r="L14" s="119">
        <f t="shared" si="0"/>
        <v>3320376.9034076016</v>
      </c>
      <c r="M14" s="120">
        <f t="shared" si="5"/>
        <v>34.509985178736962</v>
      </c>
    </row>
    <row r="15" spans="1:13" x14ac:dyDescent="0.35">
      <c r="A15" s="115">
        <v>50</v>
      </c>
      <c r="B15" s="121">
        <v>5</v>
      </c>
      <c r="C15" s="15">
        <v>65052</v>
      </c>
      <c r="D15" s="116">
        <v>308</v>
      </c>
      <c r="E15" s="117">
        <f t="shared" si="1"/>
        <v>4.7346737994220008E-3</v>
      </c>
      <c r="F15" s="117">
        <v>2.5</v>
      </c>
      <c r="G15" s="117">
        <f t="shared" si="2"/>
        <v>2.3396432803621893E-2</v>
      </c>
      <c r="H15" s="117">
        <f t="shared" si="3"/>
        <v>0.97660356719637809</v>
      </c>
      <c r="I15" s="119">
        <f t="shared" si="6"/>
        <v>94770.811570549355</v>
      </c>
      <c r="J15" s="119">
        <f t="shared" si="7"/>
        <v>2217.2989246550715</v>
      </c>
      <c r="K15" s="119">
        <f t="shared" si="4"/>
        <v>468310.81054110912</v>
      </c>
      <c r="L15" s="119">
        <f t="shared" si="0"/>
        <v>2842912.4701466253</v>
      </c>
      <c r="M15" s="120">
        <f t="shared" si="5"/>
        <v>29.997764322512975</v>
      </c>
    </row>
    <row r="16" spans="1:13" x14ac:dyDescent="0.35">
      <c r="A16" s="115">
        <v>55</v>
      </c>
      <c r="B16" s="121">
        <v>5</v>
      </c>
      <c r="C16" s="15">
        <v>48197</v>
      </c>
      <c r="D16" s="116">
        <v>418</v>
      </c>
      <c r="E16" s="117">
        <f t="shared" si="1"/>
        <v>8.6727389671556326E-3</v>
      </c>
      <c r="F16" s="117">
        <v>2.5</v>
      </c>
      <c r="G16" s="117">
        <f t="shared" si="2"/>
        <v>4.2443442589659236E-2</v>
      </c>
      <c r="H16" s="117">
        <f t="shared" si="3"/>
        <v>0.95755655741034074</v>
      </c>
      <c r="I16" s="119">
        <f t="shared" si="6"/>
        <v>92553.512645894283</v>
      </c>
      <c r="J16" s="119">
        <f t="shared" si="7"/>
        <v>3928.2897004573169</v>
      </c>
      <c r="K16" s="119">
        <f t="shared" si="4"/>
        <v>452946.8389783281</v>
      </c>
      <c r="L16" s="119">
        <f t="shared" si="0"/>
        <v>2374601.6596055161</v>
      </c>
      <c r="M16" s="120">
        <f t="shared" si="5"/>
        <v>25.656526605215287</v>
      </c>
    </row>
    <row r="17" spans="1:13" x14ac:dyDescent="0.35">
      <c r="A17" s="115">
        <v>60</v>
      </c>
      <c r="B17" s="121">
        <v>5</v>
      </c>
      <c r="C17" s="15">
        <v>40060</v>
      </c>
      <c r="D17" s="116">
        <v>509</v>
      </c>
      <c r="E17" s="117">
        <f t="shared" si="1"/>
        <v>1.2705941088367449E-2</v>
      </c>
      <c r="F17" s="117">
        <v>2.5</v>
      </c>
      <c r="G17" s="117">
        <f t="shared" si="2"/>
        <v>6.1573822052863963E-2</v>
      </c>
      <c r="H17" s="117">
        <f t="shared" si="3"/>
        <v>0.93842617794713601</v>
      </c>
      <c r="I17" s="119">
        <f t="shared" si="6"/>
        <v>88625.222945436966</v>
      </c>
      <c r="J17" s="119">
        <f t="shared" si="7"/>
        <v>5456.9937070377346</v>
      </c>
      <c r="K17" s="119">
        <f t="shared" si="4"/>
        <v>429483.63045959052</v>
      </c>
      <c r="L17" s="119">
        <f t="shared" si="0"/>
        <v>1921654.8206271881</v>
      </c>
      <c r="M17" s="120">
        <f t="shared" si="5"/>
        <v>21.682933557304274</v>
      </c>
    </row>
    <row r="18" spans="1:13" x14ac:dyDescent="0.35">
      <c r="A18" s="115">
        <v>65</v>
      </c>
      <c r="B18" s="121">
        <v>5</v>
      </c>
      <c r="C18" s="15">
        <v>28840</v>
      </c>
      <c r="D18" s="116">
        <v>549</v>
      </c>
      <c r="E18" s="117">
        <f t="shared" si="1"/>
        <v>1.9036061026352288E-2</v>
      </c>
      <c r="F18" s="117">
        <v>2.5</v>
      </c>
      <c r="G18" s="117">
        <f t="shared" si="2"/>
        <v>9.0856433595366159E-2</v>
      </c>
      <c r="H18" s="117">
        <f t="shared" si="3"/>
        <v>0.9091435664046339</v>
      </c>
      <c r="I18" s="119">
        <f t="shared" si="6"/>
        <v>83168.229238399232</v>
      </c>
      <c r="J18" s="119">
        <f t="shared" si="7"/>
        <v>7556.3686970428098</v>
      </c>
      <c r="K18" s="119">
        <f t="shared" si="4"/>
        <v>396950.22444938915</v>
      </c>
      <c r="L18" s="119">
        <f t="shared" si="0"/>
        <v>1492171.1901675975</v>
      </c>
      <c r="M18" s="120">
        <f t="shared" si="5"/>
        <v>17.941601063674611</v>
      </c>
    </row>
    <row r="19" spans="1:13" x14ac:dyDescent="0.35">
      <c r="A19" s="115">
        <v>70</v>
      </c>
      <c r="B19" s="121">
        <v>5</v>
      </c>
      <c r="C19" s="15">
        <v>22425</v>
      </c>
      <c r="D19" s="116">
        <v>670</v>
      </c>
      <c r="E19" s="117">
        <f t="shared" si="1"/>
        <v>2.987736900780379E-2</v>
      </c>
      <c r="F19" s="117">
        <v>2.5</v>
      </c>
      <c r="G19" s="117">
        <f t="shared" si="2"/>
        <v>0.13900414937759334</v>
      </c>
      <c r="H19" s="117">
        <f t="shared" si="3"/>
        <v>0.86099585062240669</v>
      </c>
      <c r="I19" s="119">
        <f t="shared" si="6"/>
        <v>75611.860541356422</v>
      </c>
      <c r="J19" s="119">
        <f t="shared" si="7"/>
        <v>10510.362357408463</v>
      </c>
      <c r="K19" s="119">
        <f t="shared" si="4"/>
        <v>351783.39681326097</v>
      </c>
      <c r="L19" s="119">
        <f t="shared" si="0"/>
        <v>1095220.9657182083</v>
      </c>
      <c r="M19" s="120">
        <f t="shared" si="5"/>
        <v>14.48477736001708</v>
      </c>
    </row>
    <row r="20" spans="1:13" x14ac:dyDescent="0.35">
      <c r="A20" s="115">
        <v>75</v>
      </c>
      <c r="B20" s="121">
        <v>5</v>
      </c>
      <c r="C20" s="15">
        <v>14413</v>
      </c>
      <c r="D20" s="116">
        <v>621</v>
      </c>
      <c r="E20" s="117">
        <f t="shared" si="1"/>
        <v>4.3086102823839588E-2</v>
      </c>
      <c r="F20" s="117">
        <v>2.5</v>
      </c>
      <c r="G20" s="117">
        <f t="shared" si="2"/>
        <v>0.19448185149228023</v>
      </c>
      <c r="H20" s="117">
        <f t="shared" si="3"/>
        <v>0.80551814850771974</v>
      </c>
      <c r="I20" s="119">
        <f t="shared" si="6"/>
        <v>65101.498183947959</v>
      </c>
      <c r="J20" s="119">
        <f t="shared" si="7"/>
        <v>12661.05990173552</v>
      </c>
      <c r="K20" s="119">
        <f t="shared" si="4"/>
        <v>293854.84116540098</v>
      </c>
      <c r="L20" s="119">
        <f t="shared" si="0"/>
        <v>743437.56890494726</v>
      </c>
      <c r="M20" s="120">
        <f t="shared" si="5"/>
        <v>11.419669126574053</v>
      </c>
    </row>
    <row r="21" spans="1:13" x14ac:dyDescent="0.35">
      <c r="A21" s="115">
        <v>80</v>
      </c>
      <c r="B21" s="121">
        <v>5</v>
      </c>
      <c r="C21" s="15">
        <v>9431</v>
      </c>
      <c r="D21" s="116">
        <v>694</v>
      </c>
      <c r="E21" s="117">
        <f t="shared" si="1"/>
        <v>7.3587106351394344E-2</v>
      </c>
      <c r="F21" s="117">
        <v>2.5</v>
      </c>
      <c r="G21" s="117">
        <f t="shared" si="2"/>
        <v>0.31076482178040477</v>
      </c>
      <c r="H21" s="117">
        <f t="shared" si="3"/>
        <v>0.68923517821959523</v>
      </c>
      <c r="I21" s="119">
        <f t="shared" si="6"/>
        <v>52440.438282212439</v>
      </c>
      <c r="J21" s="119">
        <f t="shared" si="7"/>
        <v>16296.643456858066</v>
      </c>
      <c r="K21" s="119">
        <f t="shared" si="4"/>
        <v>221460.58276891703</v>
      </c>
      <c r="L21" s="119">
        <f>K21+L22</f>
        <v>449582.72773954633</v>
      </c>
      <c r="M21" s="120">
        <f t="shared" si="5"/>
        <v>8.5732069079987596</v>
      </c>
    </row>
    <row r="22" spans="1:13" x14ac:dyDescent="0.35">
      <c r="A22" s="122" t="s">
        <v>76</v>
      </c>
      <c r="B22" s="123"/>
      <c r="C22" s="124">
        <v>7618</v>
      </c>
      <c r="D22" s="125">
        <v>1207</v>
      </c>
      <c r="E22" s="126">
        <f t="shared" si="1"/>
        <v>0.15844053557364138</v>
      </c>
      <c r="F22" s="126"/>
      <c r="G22" s="126">
        <v>1</v>
      </c>
      <c r="H22" s="126">
        <f t="shared" si="3"/>
        <v>0</v>
      </c>
      <c r="I22" s="127">
        <f>I21*H21</f>
        <v>36143.794825354373</v>
      </c>
      <c r="J22" s="127">
        <f t="shared" si="7"/>
        <v>36143.794825354373</v>
      </c>
      <c r="K22" s="127">
        <f>I22/E22</f>
        <v>228122.14497062934</v>
      </c>
      <c r="L22" s="127">
        <f>K22</f>
        <v>228122.14497062934</v>
      </c>
      <c r="M22" s="128">
        <f t="shared" si="5"/>
        <v>6.3115161557580777</v>
      </c>
    </row>
    <row r="28" spans="1:13" x14ac:dyDescent="0.35">
      <c r="A28" s="112" t="s">
        <v>94</v>
      </c>
      <c r="B28" s="27"/>
      <c r="C28" s="28"/>
      <c r="D28" s="28"/>
      <c r="E28" s="28"/>
      <c r="F28" s="28"/>
      <c r="G28" s="28"/>
      <c r="H28" s="28"/>
      <c r="I28" s="28"/>
      <c r="J28" s="28"/>
      <c r="K28" s="28"/>
      <c r="L28" s="28"/>
      <c r="M28" s="28"/>
    </row>
    <row r="29" spans="1:13" x14ac:dyDescent="0.35">
      <c r="A29" s="112"/>
      <c r="B29" s="27"/>
      <c r="C29" s="28"/>
      <c r="D29" s="28"/>
      <c r="E29" s="28"/>
      <c r="F29" s="28"/>
      <c r="G29" s="28"/>
      <c r="H29" s="28"/>
      <c r="I29" s="28"/>
      <c r="J29" s="28"/>
      <c r="K29" s="28"/>
      <c r="L29" s="28"/>
      <c r="M29" s="28"/>
    </row>
    <row r="30" spans="1:13" ht="16" x14ac:dyDescent="0.35">
      <c r="A30" s="113" t="s">
        <v>77</v>
      </c>
      <c r="B30" s="113" t="s">
        <v>78</v>
      </c>
      <c r="C30" s="113" t="s">
        <v>79</v>
      </c>
      <c r="D30" s="113" t="s">
        <v>80</v>
      </c>
      <c r="E30" s="113" t="s">
        <v>81</v>
      </c>
      <c r="F30" s="113" t="s">
        <v>82</v>
      </c>
      <c r="G30" s="113" t="s">
        <v>83</v>
      </c>
      <c r="H30" s="113" t="s">
        <v>84</v>
      </c>
      <c r="I30" s="113" t="s">
        <v>85</v>
      </c>
      <c r="J30" s="113" t="s">
        <v>86</v>
      </c>
      <c r="K30" s="113" t="s">
        <v>87</v>
      </c>
      <c r="L30" s="113" t="s">
        <v>88</v>
      </c>
      <c r="M30" s="114"/>
    </row>
    <row r="31" spans="1:13" x14ac:dyDescent="0.35">
      <c r="A31" s="115">
        <v>0</v>
      </c>
      <c r="B31" s="115">
        <v>1</v>
      </c>
      <c r="C31" s="139">
        <v>27146</v>
      </c>
      <c r="D31" s="116">
        <v>282</v>
      </c>
      <c r="E31" s="117">
        <f>D31/C31</f>
        <v>1.0388270831798423E-2</v>
      </c>
      <c r="F31" s="118">
        <f>IF(E31&gt;=0.107,0.35,0.053+2.8*E31)</f>
        <v>8.2087158329035584E-2</v>
      </c>
      <c r="G31" s="117">
        <f>(B31*E31)/(1+(B31-F31)*E31)</f>
        <v>1.0290148837672328E-2</v>
      </c>
      <c r="H31" s="117">
        <f>1-G31</f>
        <v>0.98970985116232768</v>
      </c>
      <c r="I31" s="119">
        <f>100000</f>
        <v>100000</v>
      </c>
      <c r="J31" s="119">
        <f>I31-I32</f>
        <v>1029.0148837672314</v>
      </c>
      <c r="K31" s="119">
        <f>(B31*I32)+(F31*J31)</f>
        <v>99055.454023919505</v>
      </c>
      <c r="L31" s="119">
        <f t="shared" ref="L31:L47" si="8">K31+L32</f>
        <v>7729658.6299959673</v>
      </c>
      <c r="M31" s="120">
        <f>L31/I31</f>
        <v>77.296586299959671</v>
      </c>
    </row>
    <row r="32" spans="1:13" x14ac:dyDescent="0.35">
      <c r="A32" s="121">
        <v>1</v>
      </c>
      <c r="B32" s="121">
        <v>4</v>
      </c>
      <c r="C32" s="139">
        <v>110984</v>
      </c>
      <c r="D32" s="116">
        <v>50</v>
      </c>
      <c r="E32" s="117">
        <f t="shared" ref="E32:E49" si="9">D32/C32</f>
        <v>4.5051538960570893E-4</v>
      </c>
      <c r="F32" s="118">
        <f>IF(E31&gt;=0.107,1.361,1.522-1.518*E31)</f>
        <v>1.50623060487733</v>
      </c>
      <c r="G32" s="117">
        <f t="shared" ref="G32:G48" si="10">(B32*E32)/(1+(B32-F32)*E32)</f>
        <v>1.8000392476456974E-3</v>
      </c>
      <c r="H32" s="117">
        <f t="shared" ref="H32:H49" si="11">1-G32</f>
        <v>0.99819996075235429</v>
      </c>
      <c r="I32" s="119">
        <f>I31*H31</f>
        <v>98970.985116232769</v>
      </c>
      <c r="J32" s="119">
        <f>I32-I33</f>
        <v>178.15165758738294</v>
      </c>
      <c r="K32" s="119">
        <f t="shared" ref="K32:K48" si="12">(B32*I33)+(F32*J32)</f>
        <v>395439.67131354928</v>
      </c>
      <c r="L32" s="119">
        <f t="shared" si="8"/>
        <v>7630603.1759720482</v>
      </c>
      <c r="M32" s="120">
        <f t="shared" ref="M32:M49" si="13">L32/I32</f>
        <v>77.099396020061562</v>
      </c>
    </row>
    <row r="33" spans="1:13" x14ac:dyDescent="0.35">
      <c r="A33" s="121">
        <v>5</v>
      </c>
      <c r="B33" s="121">
        <v>5</v>
      </c>
      <c r="C33" s="139">
        <v>142306</v>
      </c>
      <c r="D33" s="116">
        <v>30</v>
      </c>
      <c r="E33" s="117">
        <f t="shared" si="9"/>
        <v>2.1081331777999523E-4</v>
      </c>
      <c r="F33" s="117">
        <v>2.5</v>
      </c>
      <c r="G33" s="117">
        <f t="shared" si="10"/>
        <v>1.0535113533406844E-3</v>
      </c>
      <c r="H33" s="117">
        <f t="shared" si="11"/>
        <v>0.99894648864665936</v>
      </c>
      <c r="I33" s="119">
        <f t="shared" ref="I33:I48" si="14">I32*H32</f>
        <v>98792.833458645386</v>
      </c>
      <c r="J33" s="119">
        <f t="shared" ref="J33:J49" si="15">I33-I34</f>
        <v>104.07937167737691</v>
      </c>
      <c r="K33" s="119">
        <f t="shared" si="12"/>
        <v>493703.96886403352</v>
      </c>
      <c r="L33" s="119">
        <f t="shared" si="8"/>
        <v>7235163.5046584988</v>
      </c>
      <c r="M33" s="120">
        <f t="shared" si="13"/>
        <v>73.235712058882626</v>
      </c>
    </row>
    <row r="34" spans="1:13" x14ac:dyDescent="0.35">
      <c r="A34" s="121">
        <v>10</v>
      </c>
      <c r="B34" s="121">
        <v>5</v>
      </c>
      <c r="C34" s="139">
        <v>138028</v>
      </c>
      <c r="D34" s="116">
        <v>26</v>
      </c>
      <c r="E34" s="117">
        <f t="shared" si="9"/>
        <v>1.8836757759295217E-4</v>
      </c>
      <c r="F34" s="117">
        <v>2.5</v>
      </c>
      <c r="G34" s="117">
        <f t="shared" si="10"/>
        <v>9.4139456742919621E-4</v>
      </c>
      <c r="H34" s="117">
        <f t="shared" si="11"/>
        <v>0.99905860543257086</v>
      </c>
      <c r="I34" s="119">
        <f t="shared" si="14"/>
        <v>98688.754086968009</v>
      </c>
      <c r="J34" s="119">
        <f t="shared" si="15"/>
        <v>92.905056963820243</v>
      </c>
      <c r="K34" s="119">
        <f t="shared" si="12"/>
        <v>493211.50779243046</v>
      </c>
      <c r="L34" s="119">
        <f t="shared" si="8"/>
        <v>6741459.5357944649</v>
      </c>
      <c r="M34" s="120">
        <f t="shared" si="13"/>
        <v>68.31031152600886</v>
      </c>
    </row>
    <row r="35" spans="1:13" x14ac:dyDescent="0.35">
      <c r="A35" s="115">
        <v>15</v>
      </c>
      <c r="B35" s="121">
        <v>5</v>
      </c>
      <c r="C35" s="139">
        <v>138613</v>
      </c>
      <c r="D35" s="116">
        <v>56</v>
      </c>
      <c r="E35" s="117">
        <f t="shared" si="9"/>
        <v>4.0400251058703005E-4</v>
      </c>
      <c r="F35" s="117">
        <v>2.5</v>
      </c>
      <c r="G35" s="117">
        <f t="shared" si="10"/>
        <v>2.0179743861393987E-3</v>
      </c>
      <c r="H35" s="117">
        <f t="shared" si="11"/>
        <v>0.99798202561386062</v>
      </c>
      <c r="I35" s="119">
        <f t="shared" si="14"/>
        <v>98595.849030004189</v>
      </c>
      <c r="J35" s="119">
        <f t="shared" si="15"/>
        <v>198.96389792220725</v>
      </c>
      <c r="K35" s="119">
        <f t="shared" si="12"/>
        <v>492481.83540521545</v>
      </c>
      <c r="L35" s="119">
        <f t="shared" si="8"/>
        <v>6248248.0280020349</v>
      </c>
      <c r="M35" s="120">
        <f t="shared" si="13"/>
        <v>63.372323373376496</v>
      </c>
    </row>
    <row r="36" spans="1:13" x14ac:dyDescent="0.35">
      <c r="A36" s="115">
        <v>20</v>
      </c>
      <c r="B36" s="121">
        <v>5</v>
      </c>
      <c r="C36" s="139">
        <v>136269</v>
      </c>
      <c r="D36" s="116">
        <v>64</v>
      </c>
      <c r="E36" s="117">
        <f t="shared" si="9"/>
        <v>4.6965927687148216E-4</v>
      </c>
      <c r="F36" s="117">
        <v>2.5</v>
      </c>
      <c r="G36" s="117">
        <f t="shared" si="10"/>
        <v>2.3455423700239684E-3</v>
      </c>
      <c r="H36" s="117">
        <f t="shared" si="11"/>
        <v>0.99765445762997607</v>
      </c>
      <c r="I36" s="119">
        <f t="shared" si="14"/>
        <v>98396.885132081981</v>
      </c>
      <c r="J36" s="119">
        <f t="shared" si="15"/>
        <v>230.7940631556703</v>
      </c>
      <c r="K36" s="119">
        <f t="shared" si="12"/>
        <v>491407.44050252077</v>
      </c>
      <c r="L36" s="119">
        <f t="shared" si="8"/>
        <v>5755766.1925968193</v>
      </c>
      <c r="M36" s="120">
        <f t="shared" si="13"/>
        <v>58.49541054953751</v>
      </c>
    </row>
    <row r="37" spans="1:13" x14ac:dyDescent="0.35">
      <c r="A37" s="115">
        <v>25</v>
      </c>
      <c r="B37" s="121">
        <v>5</v>
      </c>
      <c r="C37" s="139">
        <v>129830</v>
      </c>
      <c r="D37" s="116">
        <v>79</v>
      </c>
      <c r="E37" s="117">
        <f t="shared" si="9"/>
        <v>6.084880227990449E-4</v>
      </c>
      <c r="F37" s="117">
        <v>2.5</v>
      </c>
      <c r="G37" s="117">
        <f t="shared" si="10"/>
        <v>3.0378189229201512E-3</v>
      </c>
      <c r="H37" s="117">
        <f t="shared" si="11"/>
        <v>0.9969621810770799</v>
      </c>
      <c r="I37" s="119">
        <f t="shared" si="14"/>
        <v>98166.091068926311</v>
      </c>
      <c r="J37" s="119">
        <f t="shared" si="15"/>
        <v>298.2108090382826</v>
      </c>
      <c r="K37" s="119">
        <f t="shared" si="12"/>
        <v>490084.92832203582</v>
      </c>
      <c r="L37" s="119">
        <f t="shared" si="8"/>
        <v>5264358.7520942986</v>
      </c>
      <c r="M37" s="120">
        <f t="shared" si="13"/>
        <v>53.627058944396424</v>
      </c>
    </row>
    <row r="38" spans="1:13" x14ac:dyDescent="0.35">
      <c r="A38" s="115">
        <v>30</v>
      </c>
      <c r="B38" s="121">
        <v>5</v>
      </c>
      <c r="C38" s="139">
        <v>117439</v>
      </c>
      <c r="D38" s="116">
        <v>94</v>
      </c>
      <c r="E38" s="117">
        <f t="shared" si="9"/>
        <v>8.0041553487342361E-4</v>
      </c>
      <c r="F38" s="117">
        <v>2.5</v>
      </c>
      <c r="G38" s="117">
        <f t="shared" si="10"/>
        <v>3.9940853544538297E-3</v>
      </c>
      <c r="H38" s="117">
        <f t="shared" si="11"/>
        <v>0.99600591464554622</v>
      </c>
      <c r="I38" s="119">
        <f t="shared" si="14"/>
        <v>97867.880259888028</v>
      </c>
      <c r="J38" s="119">
        <f t="shared" si="15"/>
        <v>390.89266721745662</v>
      </c>
      <c r="K38" s="119">
        <f t="shared" si="12"/>
        <v>488362.16963139654</v>
      </c>
      <c r="L38" s="119">
        <f t="shared" si="8"/>
        <v>4774273.8237722628</v>
      </c>
      <c r="M38" s="120">
        <f t="shared" si="13"/>
        <v>48.782846947274066</v>
      </c>
    </row>
    <row r="39" spans="1:13" x14ac:dyDescent="0.35">
      <c r="A39" s="115">
        <v>35</v>
      </c>
      <c r="B39" s="121">
        <v>5</v>
      </c>
      <c r="C39" s="139">
        <v>110002</v>
      </c>
      <c r="D39" s="116">
        <v>134</v>
      </c>
      <c r="E39" s="117">
        <f t="shared" si="9"/>
        <v>1.218159669824185E-3</v>
      </c>
      <c r="F39" s="117">
        <v>2.5</v>
      </c>
      <c r="G39" s="117">
        <f t="shared" si="10"/>
        <v>6.0723057541894375E-3</v>
      </c>
      <c r="H39" s="117">
        <f t="shared" si="11"/>
        <v>0.99392769424581051</v>
      </c>
      <c r="I39" s="119">
        <f t="shared" si="14"/>
        <v>97476.987592670572</v>
      </c>
      <c r="J39" s="119">
        <f t="shared" si="15"/>
        <v>591.91007266002998</v>
      </c>
      <c r="K39" s="119">
        <f t="shared" si="12"/>
        <v>485905.16278170276</v>
      </c>
      <c r="L39" s="119">
        <f t="shared" si="8"/>
        <v>4285911.6541408664</v>
      </c>
      <c r="M39" s="120">
        <f t="shared" si="13"/>
        <v>43.968445886433301</v>
      </c>
    </row>
    <row r="40" spans="1:13" x14ac:dyDescent="0.35">
      <c r="A40" s="115">
        <v>40</v>
      </c>
      <c r="B40" s="121">
        <v>5</v>
      </c>
      <c r="C40" s="139">
        <v>107869</v>
      </c>
      <c r="D40" s="116">
        <v>185</v>
      </c>
      <c r="E40" s="117">
        <f t="shared" si="9"/>
        <v>1.7150432469013341E-3</v>
      </c>
      <c r="F40" s="117">
        <v>2.5</v>
      </c>
      <c r="G40" s="117">
        <f t="shared" si="10"/>
        <v>8.5386060379483344E-3</v>
      </c>
      <c r="H40" s="117">
        <f t="shared" si="11"/>
        <v>0.99146139396205168</v>
      </c>
      <c r="I40" s="119">
        <f t="shared" si="14"/>
        <v>96885.077520010542</v>
      </c>
      <c r="J40" s="119">
        <f t="shared" si="15"/>
        <v>827.26350789944991</v>
      </c>
      <c r="K40" s="119">
        <f t="shared" si="12"/>
        <v>482357.22883030411</v>
      </c>
      <c r="L40" s="119">
        <f t="shared" si="8"/>
        <v>3800006.491359164</v>
      </c>
      <c r="M40" s="120">
        <f t="shared" si="13"/>
        <v>39.22179337240366</v>
      </c>
    </row>
    <row r="41" spans="1:13" x14ac:dyDescent="0.35">
      <c r="A41" s="115">
        <v>45</v>
      </c>
      <c r="B41" s="121">
        <v>5</v>
      </c>
      <c r="C41" s="139">
        <v>101612</v>
      </c>
      <c r="D41" s="116">
        <v>341</v>
      </c>
      <c r="E41" s="117">
        <f t="shared" si="9"/>
        <v>3.3559028461205369E-3</v>
      </c>
      <c r="F41" s="117">
        <v>2.5</v>
      </c>
      <c r="G41" s="117">
        <f t="shared" si="10"/>
        <v>1.6639909432047198E-2</v>
      </c>
      <c r="H41" s="117">
        <f t="shared" si="11"/>
        <v>0.98336009056795282</v>
      </c>
      <c r="I41" s="119">
        <f t="shared" si="14"/>
        <v>96057.814012111092</v>
      </c>
      <c r="J41" s="119">
        <f t="shared" si="15"/>
        <v>1598.3933254019648</v>
      </c>
      <c r="K41" s="119">
        <f t="shared" si="12"/>
        <v>476293.08674705052</v>
      </c>
      <c r="L41" s="119">
        <f t="shared" si="8"/>
        <v>3317649.26252886</v>
      </c>
      <c r="M41" s="120">
        <f t="shared" si="13"/>
        <v>34.538046661259294</v>
      </c>
    </row>
    <row r="42" spans="1:13" x14ac:dyDescent="0.35">
      <c r="A42" s="115">
        <v>50</v>
      </c>
      <c r="B42" s="121">
        <v>5</v>
      </c>
      <c r="C42" s="139">
        <v>86508</v>
      </c>
      <c r="D42" s="116">
        <v>435</v>
      </c>
      <c r="E42" s="117">
        <f t="shared" si="9"/>
        <v>5.0284366763767513E-3</v>
      </c>
      <c r="F42" s="117">
        <v>2.5</v>
      </c>
      <c r="G42" s="117">
        <f t="shared" si="10"/>
        <v>2.483004263917667E-2</v>
      </c>
      <c r="H42" s="117">
        <f t="shared" si="11"/>
        <v>0.97516995736082335</v>
      </c>
      <c r="I42" s="119">
        <f t="shared" si="14"/>
        <v>94459.420686709127</v>
      </c>
      <c r="J42" s="119">
        <f t="shared" si="15"/>
        <v>2345.4314433229156</v>
      </c>
      <c r="K42" s="119">
        <f t="shared" si="12"/>
        <v>466433.52482523833</v>
      </c>
      <c r="L42" s="119">
        <f t="shared" si="8"/>
        <v>2841356.1757818097</v>
      </c>
      <c r="M42" s="120">
        <f t="shared" si="13"/>
        <v>30.0801778703011</v>
      </c>
    </row>
    <row r="43" spans="1:13" x14ac:dyDescent="0.35">
      <c r="A43" s="115">
        <v>55</v>
      </c>
      <c r="B43" s="121">
        <v>5</v>
      </c>
      <c r="C43" s="139">
        <v>71029</v>
      </c>
      <c r="D43" s="116">
        <v>558</v>
      </c>
      <c r="E43" s="117">
        <f t="shared" si="9"/>
        <v>7.8559461628348991E-3</v>
      </c>
      <c r="F43" s="117">
        <v>2.5</v>
      </c>
      <c r="G43" s="117">
        <f t="shared" si="10"/>
        <v>3.8523141500055237E-2</v>
      </c>
      <c r="H43" s="117">
        <f t="shared" si="11"/>
        <v>0.9614768584999448</v>
      </c>
      <c r="I43" s="119">
        <f t="shared" si="14"/>
        <v>92113.989243386211</v>
      </c>
      <c r="J43" s="119">
        <f t="shared" si="15"/>
        <v>3548.5202417575347</v>
      </c>
      <c r="K43" s="119">
        <f t="shared" si="12"/>
        <v>451698.64561253722</v>
      </c>
      <c r="L43" s="119">
        <f t="shared" si="8"/>
        <v>2374922.6509565716</v>
      </c>
      <c r="M43" s="120">
        <f t="shared" si="13"/>
        <v>25.782431859307312</v>
      </c>
    </row>
    <row r="44" spans="1:13" x14ac:dyDescent="0.35">
      <c r="A44" s="115">
        <v>60</v>
      </c>
      <c r="B44" s="121">
        <v>5</v>
      </c>
      <c r="C44" s="139">
        <v>54587</v>
      </c>
      <c r="D44" s="116">
        <v>704</v>
      </c>
      <c r="E44" s="117">
        <f t="shared" si="9"/>
        <v>1.2896843570813563E-2</v>
      </c>
      <c r="F44" s="117">
        <v>2.5</v>
      </c>
      <c r="G44" s="117">
        <f t="shared" si="10"/>
        <v>6.2470051644275645E-2</v>
      </c>
      <c r="H44" s="117">
        <f t="shared" si="11"/>
        <v>0.93752994835572434</v>
      </c>
      <c r="I44" s="119">
        <f t="shared" si="14"/>
        <v>88565.469001628677</v>
      </c>
      <c r="J44" s="119">
        <f t="shared" si="15"/>
        <v>5532.6894224312418</v>
      </c>
      <c r="K44" s="119">
        <f t="shared" si="12"/>
        <v>428995.62145206524</v>
      </c>
      <c r="L44" s="119">
        <f t="shared" si="8"/>
        <v>1923224.0053440342</v>
      </c>
      <c r="M44" s="120">
        <f t="shared" si="13"/>
        <v>21.715280537933662</v>
      </c>
    </row>
    <row r="45" spans="1:13" x14ac:dyDescent="0.35">
      <c r="A45" s="115">
        <v>65</v>
      </c>
      <c r="B45" s="121">
        <v>5</v>
      </c>
      <c r="C45" s="139">
        <v>39619</v>
      </c>
      <c r="D45" s="116">
        <v>792</v>
      </c>
      <c r="E45" s="117">
        <f t="shared" si="9"/>
        <v>1.9990408642318078E-2</v>
      </c>
      <c r="F45" s="117">
        <v>2.5</v>
      </c>
      <c r="G45" s="117">
        <f t="shared" si="10"/>
        <v>9.5194596023942882E-2</v>
      </c>
      <c r="H45" s="117">
        <f t="shared" si="11"/>
        <v>0.90480540397605713</v>
      </c>
      <c r="I45" s="119">
        <f t="shared" si="14"/>
        <v>83032.779579197435</v>
      </c>
      <c r="J45" s="119">
        <f t="shared" si="15"/>
        <v>7904.2719087867881</v>
      </c>
      <c r="K45" s="119">
        <f t="shared" si="12"/>
        <v>395403.21812402026</v>
      </c>
      <c r="L45" s="119">
        <f t="shared" si="8"/>
        <v>1494228.383891969</v>
      </c>
      <c r="M45" s="120">
        <f t="shared" si="13"/>
        <v>17.995644508886517</v>
      </c>
    </row>
    <row r="46" spans="1:13" x14ac:dyDescent="0.35">
      <c r="A46" s="115">
        <v>70</v>
      </c>
      <c r="B46" s="121">
        <v>5</v>
      </c>
      <c r="C46" s="139">
        <v>29758</v>
      </c>
      <c r="D46" s="116">
        <v>870</v>
      </c>
      <c r="E46" s="117">
        <f t="shared" si="9"/>
        <v>2.9235835741649303E-2</v>
      </c>
      <c r="F46" s="117">
        <v>2.5</v>
      </c>
      <c r="G46" s="117">
        <f t="shared" si="10"/>
        <v>0.13622271631227884</v>
      </c>
      <c r="H46" s="117">
        <f t="shared" si="11"/>
        <v>0.86377728368772111</v>
      </c>
      <c r="I46" s="119">
        <f t="shared" si="14"/>
        <v>75128.507670410647</v>
      </c>
      <c r="J46" s="119">
        <f t="shared" si="15"/>
        <v>10234.20938735122</v>
      </c>
      <c r="K46" s="119">
        <f t="shared" si="12"/>
        <v>350057.01488367521</v>
      </c>
      <c r="L46" s="119">
        <f t="shared" si="8"/>
        <v>1098825.1657679486</v>
      </c>
      <c r="M46" s="120">
        <f t="shared" si="13"/>
        <v>14.625941601136326</v>
      </c>
    </row>
    <row r="47" spans="1:13" x14ac:dyDescent="0.35">
      <c r="A47" s="115">
        <v>75</v>
      </c>
      <c r="B47" s="121">
        <v>5</v>
      </c>
      <c r="C47" s="139">
        <v>20785</v>
      </c>
      <c r="D47" s="116">
        <v>958</v>
      </c>
      <c r="E47" s="117">
        <f t="shared" si="9"/>
        <v>4.6090930959826797E-2</v>
      </c>
      <c r="F47" s="117">
        <v>2.5</v>
      </c>
      <c r="G47" s="117">
        <f t="shared" si="10"/>
        <v>0.20664365832614323</v>
      </c>
      <c r="H47" s="117">
        <f t="shared" si="11"/>
        <v>0.79335634167385671</v>
      </c>
      <c r="I47" s="119">
        <f t="shared" si="14"/>
        <v>64894.298283059426</v>
      </c>
      <c r="J47" s="119">
        <f t="shared" si="15"/>
        <v>13409.995201719357</v>
      </c>
      <c r="K47" s="119">
        <f t="shared" si="12"/>
        <v>290946.50341099873</v>
      </c>
      <c r="L47" s="119">
        <f t="shared" si="8"/>
        <v>748768.15088427346</v>
      </c>
      <c r="M47" s="120">
        <f t="shared" si="13"/>
        <v>11.538273325928518</v>
      </c>
    </row>
    <row r="48" spans="1:13" x14ac:dyDescent="0.35">
      <c r="A48" s="115">
        <v>80</v>
      </c>
      <c r="B48" s="121">
        <v>5</v>
      </c>
      <c r="C48" s="139">
        <v>12658</v>
      </c>
      <c r="D48" s="116">
        <v>877</v>
      </c>
      <c r="E48" s="117">
        <f t="shared" si="9"/>
        <v>6.9284247116448094E-2</v>
      </c>
      <c r="F48" s="117">
        <v>2.5</v>
      </c>
      <c r="G48" s="117">
        <f t="shared" si="10"/>
        <v>0.29527625332480389</v>
      </c>
      <c r="H48" s="117">
        <f t="shared" si="11"/>
        <v>0.70472374667519611</v>
      </c>
      <c r="I48" s="119">
        <f t="shared" si="14"/>
        <v>51484.303081340069</v>
      </c>
      <c r="J48" s="119">
        <f t="shared" si="15"/>
        <v>15202.092118896755</v>
      </c>
      <c r="K48" s="119">
        <f t="shared" si="12"/>
        <v>219416.28510945846</v>
      </c>
      <c r="L48" s="119">
        <f>K48+L49</f>
        <v>457821.64747327473</v>
      </c>
      <c r="M48" s="120">
        <f t="shared" si="13"/>
        <v>8.8924510981524243</v>
      </c>
    </row>
    <row r="49" spans="1:13" x14ac:dyDescent="0.35">
      <c r="A49" s="122" t="s">
        <v>76</v>
      </c>
      <c r="B49" s="123"/>
      <c r="C49" s="140">
        <v>9922</v>
      </c>
      <c r="D49" s="125">
        <v>1510</v>
      </c>
      <c r="E49" s="126">
        <f t="shared" si="9"/>
        <v>0.15218705906067326</v>
      </c>
      <c r="F49" s="126"/>
      <c r="G49" s="126">
        <v>1</v>
      </c>
      <c r="H49" s="126">
        <f t="shared" si="11"/>
        <v>0</v>
      </c>
      <c r="I49" s="127">
        <f>I48*H48</f>
        <v>36282.210962443314</v>
      </c>
      <c r="J49" s="127">
        <f t="shared" si="15"/>
        <v>36282.210962443314</v>
      </c>
      <c r="K49" s="127">
        <f>I49/E49</f>
        <v>238405.36236381627</v>
      </c>
      <c r="L49" s="127">
        <f>K49</f>
        <v>238405.36236381627</v>
      </c>
      <c r="M49" s="128">
        <f t="shared" si="13"/>
        <v>6.5708609271523182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5B7A-344C-469A-9D59-1715C7536A1D}">
  <dimension ref="A1:J32"/>
  <sheetViews>
    <sheetView zoomScaleNormal="100" workbookViewId="0">
      <selection activeCell="D32" sqref="D32"/>
    </sheetView>
  </sheetViews>
  <sheetFormatPr baseColWidth="10" defaultColWidth="11.453125" defaultRowHeight="14.5" x14ac:dyDescent="0.35"/>
  <cols>
    <col min="1" max="1" width="15.81640625" style="6" customWidth="1"/>
    <col min="2" max="4" width="11.453125" style="6"/>
    <col min="5" max="5" width="12.1796875" style="6" bestFit="1" customWidth="1"/>
    <col min="6" max="6" width="11.453125" style="6"/>
    <col min="7" max="10" width="11.453125" style="1"/>
  </cols>
  <sheetData>
    <row r="1" spans="1:8" x14ac:dyDescent="0.35">
      <c r="A1" s="163" t="s">
        <v>92</v>
      </c>
      <c r="B1" s="163"/>
      <c r="C1" s="163"/>
      <c r="D1" s="163"/>
    </row>
    <row r="2" spans="1:8" x14ac:dyDescent="0.35">
      <c r="A2" s="164" t="s">
        <v>45</v>
      </c>
      <c r="B2" s="164"/>
      <c r="C2" s="164"/>
      <c r="E2" s="62"/>
    </row>
    <row r="3" spans="1:8" x14ac:dyDescent="0.35">
      <c r="A3" s="156" t="s">
        <v>46</v>
      </c>
      <c r="B3" s="157"/>
      <c r="C3" s="157"/>
      <c r="D3" s="158"/>
    </row>
    <row r="4" spans="1:8" x14ac:dyDescent="0.35">
      <c r="A4" s="29" t="s">
        <v>59</v>
      </c>
      <c r="B4" s="29" t="s">
        <v>58</v>
      </c>
      <c r="C4" s="29" t="s">
        <v>61</v>
      </c>
      <c r="D4" s="29" t="s">
        <v>48</v>
      </c>
      <c r="F4" s="63"/>
    </row>
    <row r="5" spans="1:8" x14ac:dyDescent="0.35">
      <c r="A5" s="64" t="s">
        <v>60</v>
      </c>
      <c r="B5" s="65">
        <f>COAHUILA2010!$S$7</f>
        <v>56972</v>
      </c>
      <c r="C5" s="65">
        <f>COAHUILA2010!$H$34</f>
        <v>2702975.7394890934</v>
      </c>
      <c r="D5" s="71">
        <f>B5/C5*1000</f>
        <v>21.077510673761591</v>
      </c>
    </row>
    <row r="7" spans="1:8" x14ac:dyDescent="0.35">
      <c r="A7" s="61" t="s">
        <v>49</v>
      </c>
    </row>
    <row r="8" spans="1:8" x14ac:dyDescent="0.35">
      <c r="A8" s="156" t="s">
        <v>50</v>
      </c>
      <c r="B8" s="157"/>
      <c r="C8" s="157"/>
      <c r="D8" s="158"/>
    </row>
    <row r="9" spans="1:8" ht="15.5" customHeight="1" x14ac:dyDescent="0.35">
      <c r="A9" s="29" t="s">
        <v>47</v>
      </c>
      <c r="B9" s="66" t="s">
        <v>75</v>
      </c>
      <c r="C9" s="29" t="s">
        <v>61</v>
      </c>
      <c r="D9" s="66" t="s">
        <v>51</v>
      </c>
    </row>
    <row r="10" spans="1:8" x14ac:dyDescent="0.35">
      <c r="A10" s="64" t="s">
        <v>60</v>
      </c>
      <c r="B10" s="65">
        <f>COAHUILA2010!$O$12</f>
        <v>735092.97417577438</v>
      </c>
      <c r="C10" s="65">
        <f>COAHUILA2010!$H$34</f>
        <v>2702975.7394890934</v>
      </c>
      <c r="D10" s="72">
        <f>B10/C10</f>
        <v>0.27195692637430735</v>
      </c>
    </row>
    <row r="12" spans="1:8" x14ac:dyDescent="0.35">
      <c r="A12" s="67" t="s">
        <v>52</v>
      </c>
    </row>
    <row r="13" spans="1:8" x14ac:dyDescent="0.35">
      <c r="A13" s="160" t="s">
        <v>54</v>
      </c>
      <c r="B13" s="161"/>
      <c r="C13" s="161"/>
      <c r="D13" s="162"/>
    </row>
    <row r="14" spans="1:8" x14ac:dyDescent="0.35">
      <c r="A14" s="30" t="s">
        <v>47</v>
      </c>
      <c r="B14" s="29" t="s">
        <v>58</v>
      </c>
      <c r="C14" s="30" t="s">
        <v>62</v>
      </c>
      <c r="D14" s="30" t="s">
        <v>53</v>
      </c>
      <c r="F14" s="63"/>
      <c r="H14" s="68" t="s">
        <v>53</v>
      </c>
    </row>
    <row r="15" spans="1:8" x14ac:dyDescent="0.35">
      <c r="A15" s="64" t="s">
        <v>60</v>
      </c>
      <c r="B15" s="69">
        <f>B5</f>
        <v>56972</v>
      </c>
      <c r="C15" s="69">
        <f>B10</f>
        <v>735092.97417577438</v>
      </c>
      <c r="D15" s="73">
        <f>B15/C15*1000</f>
        <v>77.503121375741699</v>
      </c>
      <c r="H15" s="70">
        <f>D5/D10</f>
        <v>77.503121375741699</v>
      </c>
    </row>
    <row r="18" spans="1:4" x14ac:dyDescent="0.35">
      <c r="A18" s="163" t="s">
        <v>93</v>
      </c>
      <c r="B18" s="163"/>
      <c r="C18" s="163"/>
      <c r="D18" s="163"/>
    </row>
    <row r="19" spans="1:4" x14ac:dyDescent="0.35">
      <c r="A19" s="164" t="s">
        <v>45</v>
      </c>
      <c r="B19" s="164"/>
      <c r="C19" s="164"/>
    </row>
    <row r="20" spans="1:4" x14ac:dyDescent="0.35">
      <c r="A20" s="156" t="s">
        <v>46</v>
      </c>
      <c r="B20" s="157"/>
      <c r="C20" s="157"/>
      <c r="D20" s="158"/>
    </row>
    <row r="21" spans="1:4" x14ac:dyDescent="0.35">
      <c r="A21" s="29" t="s">
        <v>59</v>
      </c>
      <c r="B21" s="29" t="s">
        <v>58</v>
      </c>
      <c r="C21" s="29" t="s">
        <v>61</v>
      </c>
      <c r="D21" s="29" t="s">
        <v>48</v>
      </c>
    </row>
    <row r="22" spans="1:4" x14ac:dyDescent="0.35">
      <c r="A22" s="64" t="s">
        <v>60</v>
      </c>
      <c r="B22" s="65">
        <f>COAHUILA2019!$S$7</f>
        <v>44734</v>
      </c>
      <c r="C22" s="65">
        <f>COAHUILA2019!$H$34</f>
        <v>3154334.5625594687</v>
      </c>
      <c r="D22" s="71">
        <f>B22/C22*1000</f>
        <v>14.181755014503675</v>
      </c>
    </row>
    <row r="24" spans="1:4" x14ac:dyDescent="0.35">
      <c r="A24" s="61" t="s">
        <v>49</v>
      </c>
    </row>
    <row r="25" spans="1:4" x14ac:dyDescent="0.35">
      <c r="A25" s="159" t="s">
        <v>50</v>
      </c>
      <c r="B25" s="159"/>
      <c r="C25" s="159"/>
      <c r="D25" s="159"/>
    </row>
    <row r="26" spans="1:4" x14ac:dyDescent="0.35">
      <c r="A26" s="29" t="s">
        <v>47</v>
      </c>
      <c r="B26" s="66" t="s">
        <v>75</v>
      </c>
      <c r="C26" s="29" t="s">
        <v>61</v>
      </c>
      <c r="D26" s="66" t="s">
        <v>51</v>
      </c>
    </row>
    <row r="27" spans="1:4" x14ac:dyDescent="0.35">
      <c r="A27" s="64" t="s">
        <v>60</v>
      </c>
      <c r="B27" s="65">
        <f>COAHUILA2019!$O$12</f>
        <v>841634</v>
      </c>
      <c r="C27" s="65">
        <f>COAHUILA2010!$H$34</f>
        <v>2702975.7394890934</v>
      </c>
      <c r="D27" s="72">
        <f>B27/C27</f>
        <v>0.31137312396265998</v>
      </c>
    </row>
    <row r="29" spans="1:4" x14ac:dyDescent="0.35">
      <c r="A29" s="67" t="s">
        <v>52</v>
      </c>
    </row>
    <row r="30" spans="1:4" x14ac:dyDescent="0.35">
      <c r="A30" s="160" t="s">
        <v>54</v>
      </c>
      <c r="B30" s="161"/>
      <c r="C30" s="161"/>
      <c r="D30" s="162"/>
    </row>
    <row r="31" spans="1:4" x14ac:dyDescent="0.35">
      <c r="A31" s="30" t="s">
        <v>47</v>
      </c>
      <c r="B31" s="29" t="s">
        <v>58</v>
      </c>
      <c r="C31" s="30" t="s">
        <v>62</v>
      </c>
      <c r="D31" s="30" t="s">
        <v>53</v>
      </c>
    </row>
    <row r="32" spans="1:4" x14ac:dyDescent="0.35">
      <c r="A32" s="64" t="s">
        <v>60</v>
      </c>
      <c r="B32" s="69">
        <f>B22</f>
        <v>44734</v>
      </c>
      <c r="C32" s="69">
        <f>B27</f>
        <v>841634</v>
      </c>
      <c r="D32" s="73">
        <f>B32/C32*1000</f>
        <v>53.151369835344106</v>
      </c>
    </row>
  </sheetData>
  <mergeCells count="10">
    <mergeCell ref="A20:D20"/>
    <mergeCell ref="A25:D25"/>
    <mergeCell ref="A30:D30"/>
    <mergeCell ref="A1:D1"/>
    <mergeCell ref="A18:D18"/>
    <mergeCell ref="A2:C2"/>
    <mergeCell ref="A3:D3"/>
    <mergeCell ref="A8:D8"/>
    <mergeCell ref="A13:D13"/>
    <mergeCell ref="A19:C1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0FEC-2E98-4BD3-8F83-7EDB3ED06081}">
  <dimension ref="A1:AE37"/>
  <sheetViews>
    <sheetView tabSelected="1" zoomScale="73" zoomScaleNormal="100" workbookViewId="0">
      <selection activeCell="S21" sqref="S21"/>
    </sheetView>
  </sheetViews>
  <sheetFormatPr baseColWidth="10" defaultColWidth="11.453125" defaultRowHeight="12.5" x14ac:dyDescent="0.25"/>
  <cols>
    <col min="1" max="1" width="8.81640625" style="74" bestFit="1" customWidth="1"/>
    <col min="2" max="2" width="10.453125" style="74" customWidth="1"/>
    <col min="3" max="4" width="6.453125" style="74" customWidth="1"/>
    <col min="5" max="5" width="13.453125" style="74" customWidth="1"/>
    <col min="6" max="6" width="11.453125" style="74" bestFit="1" customWidth="1"/>
    <col min="7" max="7" width="11.453125" style="74"/>
    <col min="8" max="8" width="11.81640625" style="74" bestFit="1" customWidth="1"/>
    <col min="9" max="12" width="11.453125" style="74"/>
    <col min="13" max="21" width="11.453125" style="58"/>
    <col min="22" max="22" width="13.81640625" style="58" customWidth="1"/>
    <col min="23" max="23" width="15.08984375" style="58" customWidth="1"/>
    <col min="24" max="16384" width="11.453125" style="58"/>
  </cols>
  <sheetData>
    <row r="1" spans="1:31" ht="13" x14ac:dyDescent="0.25">
      <c r="A1" s="59" t="s">
        <v>29</v>
      </c>
      <c r="I1" s="74" t="s">
        <v>36</v>
      </c>
      <c r="J1" s="74">
        <f>100/205</f>
        <v>0.48780487804878048</v>
      </c>
    </row>
    <row r="2" spans="1:31" x14ac:dyDescent="0.25">
      <c r="A2" s="75"/>
      <c r="B2" s="75"/>
      <c r="C2" s="75"/>
      <c r="D2" s="75"/>
      <c r="E2" s="75"/>
      <c r="F2" s="75"/>
      <c r="G2" s="76"/>
      <c r="H2" s="75"/>
      <c r="I2" s="76"/>
      <c r="J2" s="75"/>
      <c r="K2" s="75"/>
      <c r="L2" s="75"/>
      <c r="N2" s="77"/>
    </row>
    <row r="3" spans="1:31" ht="34.5" x14ac:dyDescent="0.35">
      <c r="A3" s="78" t="s">
        <v>26</v>
      </c>
      <c r="B3" s="78" t="s">
        <v>63</v>
      </c>
      <c r="C3" s="78" t="s">
        <v>64</v>
      </c>
      <c r="D3" s="78" t="s">
        <v>65</v>
      </c>
      <c r="E3" s="78" t="s">
        <v>66</v>
      </c>
      <c r="F3" s="110" t="s">
        <v>74</v>
      </c>
      <c r="G3" s="78" t="s">
        <v>67</v>
      </c>
      <c r="H3" s="78" t="s">
        <v>68</v>
      </c>
      <c r="I3" s="78" t="s">
        <v>69</v>
      </c>
      <c r="J3" s="78" t="s">
        <v>70</v>
      </c>
      <c r="K3" s="78" t="s">
        <v>71</v>
      </c>
      <c r="L3" s="78" t="s">
        <v>72</v>
      </c>
      <c r="O3"/>
      <c r="U3" s="169" t="s">
        <v>95</v>
      </c>
      <c r="V3" s="170"/>
      <c r="W3" s="170"/>
      <c r="X3" s="170"/>
      <c r="Y3" s="170"/>
      <c r="Z3" s="170"/>
      <c r="AA3" s="170"/>
      <c r="AB3" s="170"/>
      <c r="AC3" s="170"/>
    </row>
    <row r="4" spans="1:31" x14ac:dyDescent="0.25">
      <c r="A4" s="60" t="s">
        <v>12</v>
      </c>
      <c r="B4" s="60">
        <v>17.5</v>
      </c>
      <c r="C4" s="79">
        <v>15</v>
      </c>
      <c r="D4" s="79">
        <v>19</v>
      </c>
      <c r="E4" s="80">
        <f>COAHUILA2010!$N$5</f>
        <v>11909</v>
      </c>
      <c r="F4" s="81">
        <f>COAHUILA2010!O5</f>
        <v>129145.33100415666</v>
      </c>
      <c r="G4" s="82">
        <f>E4/F4</f>
        <v>9.2213941513818246E-2</v>
      </c>
      <c r="H4" s="83">
        <f>G4/$G$11</f>
        <v>0.18699028689646299</v>
      </c>
      <c r="I4" s="84">
        <f>G4*$J$1</f>
        <v>4.4982410494545481E-2</v>
      </c>
      <c r="J4" s="138">
        <f>'T.MORTALIDAD-F'!K8</f>
        <v>492623.57115943322</v>
      </c>
      <c r="K4" s="84">
        <f>J4/(5*100000)</f>
        <v>0.98524714231886645</v>
      </c>
      <c r="L4" s="84">
        <f>K4*I4</f>
        <v>4.4318791394365127E-2</v>
      </c>
      <c r="U4" s="170"/>
      <c r="V4" s="170"/>
      <c r="W4" s="170"/>
      <c r="X4" s="170"/>
      <c r="Y4" s="170"/>
      <c r="Z4" s="170"/>
      <c r="AA4" s="170"/>
      <c r="AB4" s="170"/>
      <c r="AC4" s="170"/>
    </row>
    <row r="5" spans="1:31" x14ac:dyDescent="0.25">
      <c r="A5" s="60" t="s">
        <v>13</v>
      </c>
      <c r="B5" s="60">
        <v>22.5</v>
      </c>
      <c r="C5" s="79">
        <v>20</v>
      </c>
      <c r="D5" s="79">
        <v>24</v>
      </c>
      <c r="E5" s="80">
        <f>COAHUILA2010!N6</f>
        <v>16286</v>
      </c>
      <c r="F5" s="81">
        <f>COAHUILA2010!O6</f>
        <v>114661.73993217465</v>
      </c>
      <c r="G5" s="82">
        <f t="shared" ref="G5:G10" si="0">E5/F5</f>
        <v>0.14203517240915398</v>
      </c>
      <c r="H5" s="83">
        <f t="shared" ref="H5:H10" si="1">G5/$G$11</f>
        <v>0.28801716098640456</v>
      </c>
      <c r="I5" s="84">
        <f t="shared" ref="I5:I10" si="2">G5*$J$1</f>
        <v>6.9285449955684864E-2</v>
      </c>
      <c r="J5" s="138">
        <f>'T.MORTALIDAD-F'!K9</f>
        <v>491544.41021700273</v>
      </c>
      <c r="K5" s="84">
        <f t="shared" ref="K4:K10" si="3">J5/(5*100000)</f>
        <v>0.98308882043400547</v>
      </c>
      <c r="L5" s="84">
        <f t="shared" ref="L5:L10" si="4">K5*I5</f>
        <v>6.811375127017355E-2</v>
      </c>
      <c r="U5" s="170"/>
      <c r="V5" s="170"/>
      <c r="W5" s="170"/>
      <c r="X5" s="170"/>
      <c r="Y5" s="170"/>
      <c r="Z5" s="170"/>
      <c r="AA5" s="170"/>
      <c r="AB5" s="170"/>
      <c r="AC5" s="170"/>
    </row>
    <row r="6" spans="1:31" x14ac:dyDescent="0.25">
      <c r="A6" s="60" t="s">
        <v>14</v>
      </c>
      <c r="B6" s="60">
        <v>27.5</v>
      </c>
      <c r="C6" s="79">
        <v>25</v>
      </c>
      <c r="D6" s="79">
        <v>29</v>
      </c>
      <c r="E6" s="80">
        <f>COAHUILA2010!N7</f>
        <v>13908</v>
      </c>
      <c r="F6" s="81">
        <f>COAHUILA2010!O7</f>
        <v>105990.3779324145</v>
      </c>
      <c r="G6" s="82">
        <f t="shared" si="0"/>
        <v>0.13121945851413544</v>
      </c>
      <c r="H6" s="83">
        <f t="shared" si="1"/>
        <v>0.2660851904945401</v>
      </c>
      <c r="I6" s="84">
        <f t="shared" si="2"/>
        <v>6.4009491958114853E-2</v>
      </c>
      <c r="J6" s="138">
        <f>'T.MORTALIDAD-F'!K10</f>
        <v>490223.35771832551</v>
      </c>
      <c r="K6" s="84">
        <f t="shared" si="3"/>
        <v>0.98044671543665107</v>
      </c>
      <c r="L6" s="84">
        <f t="shared" si="4"/>
        <v>6.2757896147102435E-2</v>
      </c>
      <c r="U6" s="170"/>
      <c r="V6" s="170"/>
      <c r="W6" s="170"/>
      <c r="X6" s="170"/>
      <c r="Y6" s="170"/>
      <c r="Z6" s="170"/>
      <c r="AA6" s="170"/>
      <c r="AB6" s="170"/>
      <c r="AC6" s="170"/>
    </row>
    <row r="7" spans="1:31" x14ac:dyDescent="0.25">
      <c r="A7" s="60" t="s">
        <v>15</v>
      </c>
      <c r="B7" s="60">
        <v>32.5</v>
      </c>
      <c r="C7" s="79">
        <v>30</v>
      </c>
      <c r="D7" s="79">
        <v>34</v>
      </c>
      <c r="E7" s="80">
        <f>COAHUILA2010!N8</f>
        <v>9223</v>
      </c>
      <c r="F7" s="81">
        <f>COAHUILA2010!O8</f>
        <v>109920.4135118954</v>
      </c>
      <c r="G7" s="82">
        <f t="shared" si="0"/>
        <v>8.390616178860992E-2</v>
      </c>
      <c r="H7" s="83">
        <f t="shared" si="1"/>
        <v>0.17014387420889193</v>
      </c>
      <c r="I7" s="84">
        <f t="shared" si="2"/>
        <v>4.0929835018834106E-2</v>
      </c>
      <c r="J7" s="138">
        <f>'T.MORTALIDAD-F'!K11</f>
        <v>488451.79820389714</v>
      </c>
      <c r="K7" s="84">
        <f t="shared" si="3"/>
        <v>0.97690359640779423</v>
      </c>
      <c r="L7" s="84">
        <f t="shared" si="4"/>
        <v>3.9984503030276716E-2</v>
      </c>
      <c r="U7" s="170"/>
      <c r="V7" s="170"/>
      <c r="W7" s="170"/>
      <c r="X7" s="170"/>
      <c r="Y7" s="170"/>
      <c r="Z7" s="170"/>
      <c r="AA7" s="170"/>
      <c r="AB7" s="170"/>
      <c r="AC7" s="170"/>
    </row>
    <row r="8" spans="1:31" x14ac:dyDescent="0.25">
      <c r="A8" s="60" t="s">
        <v>16</v>
      </c>
      <c r="B8" s="60">
        <v>37.5</v>
      </c>
      <c r="C8" s="79">
        <v>35</v>
      </c>
      <c r="D8" s="79">
        <v>39</v>
      </c>
      <c r="E8" s="80">
        <f>COAHUILA2010!N9</f>
        <v>3795</v>
      </c>
      <c r="F8" s="81">
        <f>COAHUILA2010!O9</f>
        <v>107873.40571605311</v>
      </c>
      <c r="G8" s="82">
        <f t="shared" si="0"/>
        <v>3.5180125952352773E-2</v>
      </c>
      <c r="H8" s="83">
        <f t="shared" si="1"/>
        <v>7.1337823076333684E-2</v>
      </c>
      <c r="I8" s="84">
        <f t="shared" si="2"/>
        <v>1.716103704992818E-2</v>
      </c>
      <c r="J8" s="138">
        <f>'T.MORTALIDAD-F'!K12</f>
        <v>486131.86769866024</v>
      </c>
      <c r="K8" s="84">
        <f t="shared" si="3"/>
        <v>0.97226373539732047</v>
      </c>
      <c r="L8" s="84">
        <f t="shared" si="4"/>
        <v>1.6685053985454987E-2</v>
      </c>
      <c r="U8" s="170"/>
      <c r="V8" s="170"/>
      <c r="W8" s="170"/>
      <c r="X8" s="170"/>
      <c r="Y8" s="170"/>
      <c r="Z8" s="170"/>
      <c r="AA8" s="170"/>
      <c r="AB8" s="170"/>
      <c r="AC8" s="170"/>
      <c r="AE8" s="75"/>
    </row>
    <row r="9" spans="1:31" x14ac:dyDescent="0.25">
      <c r="A9" s="60" t="s">
        <v>17</v>
      </c>
      <c r="B9" s="60">
        <v>42.5</v>
      </c>
      <c r="C9" s="79">
        <v>40</v>
      </c>
      <c r="D9" s="79">
        <v>44</v>
      </c>
      <c r="E9" s="80">
        <f>COAHUILA2010!N10</f>
        <v>725</v>
      </c>
      <c r="F9" s="81">
        <f>COAHUILA2010!O10</f>
        <v>90686.223645631791</v>
      </c>
      <c r="G9" s="82">
        <f t="shared" si="0"/>
        <v>7.9945990786101286E-3</v>
      </c>
      <c r="H9" s="83">
        <f t="shared" si="1"/>
        <v>1.6211348856696405E-2</v>
      </c>
      <c r="I9" s="84">
        <f t="shared" si="2"/>
        <v>3.8998044285903067E-3</v>
      </c>
      <c r="J9" s="138">
        <f>'T.MORTALIDAD-F'!K13</f>
        <v>482941.85191113013</v>
      </c>
      <c r="K9" s="84">
        <f t="shared" si="3"/>
        <v>0.9658837038222603</v>
      </c>
      <c r="L9" s="84">
        <f t="shared" si="4"/>
        <v>3.7667575456692588E-3</v>
      </c>
      <c r="U9" s="170"/>
      <c r="V9" s="170"/>
      <c r="W9" s="170"/>
      <c r="X9" s="170"/>
      <c r="Y9" s="170"/>
      <c r="Z9" s="170"/>
      <c r="AA9" s="170"/>
      <c r="AB9" s="170"/>
      <c r="AC9" s="170"/>
    </row>
    <row r="10" spans="1:31" x14ac:dyDescent="0.25">
      <c r="A10" s="60" t="s">
        <v>18</v>
      </c>
      <c r="B10" s="60">
        <v>47.5</v>
      </c>
      <c r="C10" s="79">
        <v>45</v>
      </c>
      <c r="D10" s="79">
        <v>49</v>
      </c>
      <c r="E10" s="80">
        <f>COAHUILA2010!N11</f>
        <v>46</v>
      </c>
      <c r="F10" s="81">
        <f>COAHUILA2010!O11</f>
        <v>76815.482433448196</v>
      </c>
      <c r="G10" s="82">
        <f t="shared" si="0"/>
        <v>5.9883761115285224E-4</v>
      </c>
      <c r="H10" s="83">
        <f t="shared" si="1"/>
        <v>1.2143154806704003E-3</v>
      </c>
      <c r="I10" s="84">
        <f t="shared" si="2"/>
        <v>2.921159078794401E-4</v>
      </c>
      <c r="J10" s="138">
        <f>'T.MORTALIDAD-F'!K14</f>
        <v>477464.43326097622</v>
      </c>
      <c r="K10" s="84">
        <f t="shared" si="3"/>
        <v>0.95492886652195241</v>
      </c>
      <c r="L10" s="84">
        <f t="shared" si="4"/>
        <v>2.7894991280434482E-4</v>
      </c>
      <c r="U10" s="170"/>
      <c r="V10" s="170"/>
      <c r="W10" s="170"/>
      <c r="X10" s="170"/>
      <c r="Y10" s="170"/>
      <c r="Z10" s="170"/>
      <c r="AA10" s="170"/>
      <c r="AB10" s="170"/>
      <c r="AC10" s="170"/>
    </row>
    <row r="11" spans="1:31" ht="13" x14ac:dyDescent="0.25">
      <c r="A11" s="85" t="s">
        <v>8</v>
      </c>
      <c r="B11" s="86"/>
      <c r="C11" s="86"/>
      <c r="D11" s="86"/>
      <c r="E11" s="87"/>
      <c r="F11" s="88"/>
      <c r="G11" s="89">
        <f>SUM(G4:G10)</f>
        <v>0.49314829686783329</v>
      </c>
      <c r="H11" s="90"/>
      <c r="I11" s="90"/>
      <c r="J11" s="91"/>
      <c r="K11" s="91"/>
      <c r="L11" s="92">
        <f>SUM(L4:L10)</f>
        <v>0.23590570328584642</v>
      </c>
      <c r="U11" s="170"/>
      <c r="V11" s="170"/>
      <c r="W11" s="170"/>
      <c r="X11" s="170"/>
      <c r="Y11" s="170"/>
      <c r="Z11" s="170"/>
      <c r="AA11" s="170"/>
      <c r="AB11" s="170"/>
      <c r="AC11" s="170"/>
    </row>
    <row r="12" spans="1:31" ht="13" x14ac:dyDescent="0.25">
      <c r="A12" s="93"/>
      <c r="B12" s="93"/>
      <c r="C12" s="93"/>
      <c r="D12" s="93"/>
      <c r="E12" s="93"/>
      <c r="F12" s="94" t="s">
        <v>55</v>
      </c>
      <c r="G12" s="95">
        <f>SUM(G4:G10)*5</f>
        <v>2.4657414843391665</v>
      </c>
      <c r="H12" s="96"/>
      <c r="U12" s="170"/>
      <c r="V12" s="170"/>
      <c r="W12" s="170"/>
      <c r="X12" s="170"/>
      <c r="Y12" s="170"/>
      <c r="Z12" s="170"/>
      <c r="AA12" s="170"/>
      <c r="AB12" s="170"/>
      <c r="AC12" s="170"/>
    </row>
    <row r="13" spans="1:31" ht="13" x14ac:dyDescent="0.25">
      <c r="F13" s="97" t="s">
        <v>56</v>
      </c>
      <c r="G13" s="98"/>
      <c r="H13" s="99"/>
      <c r="I13" s="100">
        <f>G12*J1</f>
        <v>1.2028007240678862</v>
      </c>
      <c r="K13" s="101" t="s">
        <v>73</v>
      </c>
      <c r="L13" s="100">
        <f>G12*COAHUILA2010!R10</f>
        <v>1.2158617482191287</v>
      </c>
      <c r="U13" s="170"/>
      <c r="V13" s="170"/>
      <c r="W13" s="170"/>
      <c r="X13" s="170"/>
      <c r="Y13" s="170"/>
      <c r="Z13" s="170"/>
      <c r="AA13" s="170"/>
      <c r="AB13" s="170"/>
      <c r="AC13" s="170"/>
    </row>
    <row r="14" spans="1:31" ht="13" x14ac:dyDescent="0.25">
      <c r="F14" s="97" t="s">
        <v>57</v>
      </c>
      <c r="G14" s="102"/>
      <c r="H14" s="103"/>
      <c r="I14" s="103"/>
      <c r="J14" s="103"/>
      <c r="K14" s="103"/>
      <c r="L14" s="95">
        <f>L11*5</f>
        <v>1.1795285164292322</v>
      </c>
      <c r="U14" s="170"/>
      <c r="V14" s="170"/>
      <c r="W14" s="170"/>
      <c r="X14" s="170"/>
      <c r="Y14" s="170"/>
      <c r="Z14" s="170"/>
      <c r="AA14" s="170"/>
      <c r="AB14" s="170"/>
      <c r="AC14" s="170"/>
    </row>
    <row r="15" spans="1:31" x14ac:dyDescent="0.25">
      <c r="U15" s="170"/>
      <c r="V15" s="170"/>
      <c r="W15" s="170"/>
      <c r="X15" s="170"/>
      <c r="Y15" s="170"/>
      <c r="Z15" s="170"/>
      <c r="AA15" s="170"/>
      <c r="AB15" s="170"/>
      <c r="AC15" s="170"/>
    </row>
    <row r="16" spans="1:31" ht="13" x14ac:dyDescent="0.25">
      <c r="A16" s="59"/>
      <c r="U16" s="170"/>
      <c r="V16" s="170"/>
      <c r="W16" s="170"/>
      <c r="X16" s="170"/>
      <c r="Y16" s="170"/>
      <c r="Z16" s="170"/>
      <c r="AA16" s="170"/>
      <c r="AB16" s="170"/>
      <c r="AC16" s="170"/>
    </row>
    <row r="17" spans="1:29" x14ac:dyDescent="0.25">
      <c r="A17" s="75"/>
      <c r="E17" s="75"/>
      <c r="F17" s="75"/>
      <c r="G17" s="75"/>
      <c r="H17" s="75"/>
      <c r="I17" s="75"/>
      <c r="J17" s="75"/>
      <c r="K17" s="75"/>
      <c r="L17" s="75"/>
      <c r="U17" s="170"/>
      <c r="V17" s="170"/>
      <c r="W17" s="170"/>
      <c r="X17" s="170"/>
      <c r="Y17" s="170"/>
      <c r="Z17" s="170"/>
      <c r="AA17" s="170"/>
      <c r="AB17" s="170"/>
      <c r="AC17" s="170"/>
    </row>
    <row r="18" spans="1:29" ht="13" x14ac:dyDescent="0.25">
      <c r="A18" s="59" t="s">
        <v>90</v>
      </c>
      <c r="U18" s="170"/>
      <c r="V18" s="170"/>
      <c r="W18" s="170"/>
      <c r="X18" s="170"/>
      <c r="Y18" s="170"/>
      <c r="Z18" s="170"/>
      <c r="AA18" s="170"/>
      <c r="AB18" s="170"/>
      <c r="AC18" s="170"/>
    </row>
    <row r="19" spans="1:29" x14ac:dyDescent="0.25">
      <c r="A19" s="75"/>
      <c r="B19" s="75"/>
      <c r="C19" s="75"/>
      <c r="D19" s="75"/>
      <c r="E19" s="75"/>
      <c r="F19" s="75"/>
      <c r="G19" s="76"/>
      <c r="H19" s="75"/>
      <c r="I19" s="76"/>
      <c r="J19" s="75"/>
      <c r="K19" s="75"/>
      <c r="L19" s="75"/>
      <c r="U19" s="170"/>
      <c r="V19" s="170"/>
      <c r="W19" s="170"/>
      <c r="X19" s="170"/>
      <c r="Y19" s="170"/>
      <c r="Z19" s="170"/>
      <c r="AA19" s="170"/>
      <c r="AB19" s="170"/>
      <c r="AC19" s="170"/>
    </row>
    <row r="20" spans="1:29" ht="34.5" x14ac:dyDescent="0.25">
      <c r="A20" s="78" t="s">
        <v>26</v>
      </c>
      <c r="B20" s="78" t="s">
        <v>63</v>
      </c>
      <c r="C20" s="78" t="s">
        <v>64</v>
      </c>
      <c r="D20" s="78" t="s">
        <v>65</v>
      </c>
      <c r="E20" s="78" t="s">
        <v>66</v>
      </c>
      <c r="F20" s="110" t="s">
        <v>74</v>
      </c>
      <c r="G20" s="78" t="s">
        <v>67</v>
      </c>
      <c r="H20" s="78" t="s">
        <v>68</v>
      </c>
      <c r="I20" s="78" t="s">
        <v>69</v>
      </c>
      <c r="J20" s="78" t="s">
        <v>70</v>
      </c>
      <c r="K20" s="78" t="s">
        <v>71</v>
      </c>
      <c r="L20" s="78" t="s">
        <v>72</v>
      </c>
      <c r="U20" s="170"/>
      <c r="V20" s="170"/>
      <c r="W20" s="170"/>
      <c r="X20" s="170"/>
      <c r="Y20" s="170"/>
      <c r="Z20" s="170"/>
      <c r="AA20" s="170"/>
      <c r="AB20" s="170"/>
      <c r="AC20" s="170"/>
    </row>
    <row r="21" spans="1:29" x14ac:dyDescent="0.25">
      <c r="A21" s="60" t="s">
        <v>12</v>
      </c>
      <c r="B21" s="60">
        <v>17.5</v>
      </c>
      <c r="C21" s="79">
        <v>15</v>
      </c>
      <c r="D21" s="79">
        <v>19</v>
      </c>
      <c r="E21" s="80">
        <f>COAHUILA2019!$N5</f>
        <v>8185</v>
      </c>
      <c r="F21" s="81">
        <f>COAHUILA2019!$O5</f>
        <v>138613</v>
      </c>
      <c r="G21" s="82">
        <f>E21/F21</f>
        <v>5.9049295520622165E-2</v>
      </c>
      <c r="H21" s="83">
        <f>G21/$G$28</f>
        <v>0.17086744263361967</v>
      </c>
      <c r="I21" s="84">
        <f>G21*$J$1</f>
        <v>2.8804534400303495E-2</v>
      </c>
      <c r="J21" s="138">
        <f>'T.MORTALIDAD-F'!K35</f>
        <v>492481.83540521545</v>
      </c>
      <c r="K21" s="84">
        <f t="shared" ref="K21:K27" si="5">J21/(5*100000)</f>
        <v>0.9849636708104309</v>
      </c>
      <c r="L21" s="84">
        <f>K21*I21</f>
        <v>2.8371419938908266E-2</v>
      </c>
      <c r="O21" s="104"/>
      <c r="P21" s="104"/>
      <c r="U21" s="170"/>
      <c r="V21" s="170"/>
      <c r="W21" s="170"/>
      <c r="X21" s="170"/>
      <c r="Y21" s="170"/>
      <c r="Z21" s="170"/>
      <c r="AA21" s="170"/>
      <c r="AB21" s="170"/>
      <c r="AC21" s="170"/>
    </row>
    <row r="22" spans="1:29" x14ac:dyDescent="0.25">
      <c r="A22" s="60" t="s">
        <v>13</v>
      </c>
      <c r="B22" s="60">
        <v>22.5</v>
      </c>
      <c r="C22" s="79">
        <v>20</v>
      </c>
      <c r="D22" s="79">
        <v>24</v>
      </c>
      <c r="E22" s="80">
        <f>COAHUILA2019!$N6</f>
        <v>13198</v>
      </c>
      <c r="F22" s="81">
        <f>COAHUILA2019!$O6</f>
        <v>136269</v>
      </c>
      <c r="G22" s="82">
        <f t="shared" ref="G22:G27" si="6">E22/F22</f>
        <v>9.6852549002340957E-2</v>
      </c>
      <c r="H22" s="83">
        <f t="shared" ref="H22:H27" si="7">G22/$G$28</f>
        <v>0.28025647409794813</v>
      </c>
      <c r="I22" s="84">
        <f t="shared" ref="I22:I27" si="8">G22*$J$1</f>
        <v>4.7245145854800469E-2</v>
      </c>
      <c r="J22" s="138">
        <f>'T.MORTALIDAD-F'!K36</f>
        <v>491407.44050252077</v>
      </c>
      <c r="K22" s="84">
        <f t="shared" si="5"/>
        <v>0.98281488100504155</v>
      </c>
      <c r="L22" s="84">
        <f t="shared" ref="L22:L27" si="9">K22*I22</f>
        <v>4.6433232401351554E-2</v>
      </c>
      <c r="O22" s="104"/>
      <c r="P22" s="104"/>
      <c r="U22" s="170"/>
      <c r="V22" s="170"/>
      <c r="W22" s="170"/>
      <c r="X22" s="170"/>
      <c r="Y22" s="170"/>
      <c r="Z22" s="170"/>
      <c r="AA22" s="170"/>
      <c r="AB22" s="170"/>
      <c r="AC22" s="170"/>
    </row>
    <row r="23" spans="1:29" x14ac:dyDescent="0.25">
      <c r="A23" s="60" t="s">
        <v>14</v>
      </c>
      <c r="B23" s="60">
        <v>27.5</v>
      </c>
      <c r="C23" s="79">
        <v>25</v>
      </c>
      <c r="D23" s="79">
        <v>29</v>
      </c>
      <c r="E23" s="80">
        <f>COAHUILA2019!$N7</f>
        <v>11718</v>
      </c>
      <c r="F23" s="81">
        <f>COAHUILA2019!$O7</f>
        <v>129830</v>
      </c>
      <c r="G23" s="82">
        <f t="shared" si="6"/>
        <v>9.0256489255179845E-2</v>
      </c>
      <c r="H23" s="83">
        <f t="shared" si="7"/>
        <v>0.26116984739869531</v>
      </c>
      <c r="I23" s="84">
        <f t="shared" si="8"/>
        <v>4.4027555734234072E-2</v>
      </c>
      <c r="J23" s="138">
        <f>'T.MORTALIDAD-F'!K37</f>
        <v>490084.92832203582</v>
      </c>
      <c r="K23" s="84">
        <f t="shared" si="5"/>
        <v>0.98016985664407164</v>
      </c>
      <c r="L23" s="84">
        <f t="shared" si="9"/>
        <v>4.3154482992413083E-2</v>
      </c>
      <c r="O23" s="104"/>
      <c r="P23" s="104"/>
      <c r="U23" s="170"/>
      <c r="V23" s="170"/>
      <c r="W23" s="170"/>
      <c r="X23" s="170"/>
      <c r="Y23" s="170"/>
      <c r="Z23" s="170"/>
      <c r="AA23" s="170"/>
      <c r="AB23" s="170"/>
      <c r="AC23" s="170"/>
    </row>
    <row r="24" spans="1:29" x14ac:dyDescent="0.25">
      <c r="A24" s="60" t="s">
        <v>15</v>
      </c>
      <c r="B24" s="60">
        <v>32.5</v>
      </c>
      <c r="C24" s="79">
        <v>30</v>
      </c>
      <c r="D24" s="79">
        <v>34</v>
      </c>
      <c r="E24" s="80">
        <f>COAHUILA2019!$N8</f>
        <v>7294</v>
      </c>
      <c r="F24" s="81">
        <f>COAHUILA2019!$O8</f>
        <v>117439</v>
      </c>
      <c r="G24" s="82">
        <f t="shared" si="6"/>
        <v>6.2108839482625022E-2</v>
      </c>
      <c r="H24" s="83">
        <f t="shared" si="7"/>
        <v>0.17972066345197793</v>
      </c>
      <c r="I24" s="84">
        <f t="shared" si="8"/>
        <v>3.0296994869573182E-2</v>
      </c>
      <c r="J24" s="138">
        <f>'T.MORTALIDAD-F'!K38</f>
        <v>488362.16963139654</v>
      </c>
      <c r="K24" s="84">
        <f t="shared" si="5"/>
        <v>0.97672433926279312</v>
      </c>
      <c r="L24" s="84">
        <f t="shared" si="9"/>
        <v>2.9591812295632097E-2</v>
      </c>
      <c r="U24" s="170"/>
      <c r="V24" s="170"/>
      <c r="W24" s="170"/>
      <c r="X24" s="170"/>
      <c r="Y24" s="170"/>
      <c r="Z24" s="170"/>
      <c r="AA24" s="170"/>
      <c r="AB24" s="170"/>
      <c r="AC24" s="170"/>
    </row>
    <row r="25" spans="1:29" x14ac:dyDescent="0.25">
      <c r="A25" s="60" t="s">
        <v>16</v>
      </c>
      <c r="B25" s="60">
        <v>37.5</v>
      </c>
      <c r="C25" s="79">
        <v>35</v>
      </c>
      <c r="D25" s="79">
        <v>39</v>
      </c>
      <c r="E25" s="80">
        <f>COAHUILA2019!$N9</f>
        <v>3306</v>
      </c>
      <c r="F25" s="81">
        <f>COAHUILA2019!$O9</f>
        <v>110002</v>
      </c>
      <c r="G25" s="82">
        <f t="shared" si="6"/>
        <v>3.0053999018199669E-2</v>
      </c>
      <c r="H25" s="83">
        <f t="shared" si="7"/>
        <v>8.6965473641589464E-2</v>
      </c>
      <c r="I25" s="84">
        <f t="shared" si="8"/>
        <v>1.4660487325951058E-2</v>
      </c>
      <c r="J25" s="138">
        <f>'T.MORTALIDAD-F'!K39</f>
        <v>485905.16278170276</v>
      </c>
      <c r="K25" s="84">
        <f t="shared" si="5"/>
        <v>0.97181032556340552</v>
      </c>
      <c r="L25" s="84">
        <f t="shared" si="9"/>
        <v>1.4247212961150679E-2</v>
      </c>
      <c r="U25" s="170"/>
      <c r="V25" s="170"/>
      <c r="W25" s="170"/>
      <c r="X25" s="170"/>
      <c r="Y25" s="170"/>
      <c r="Z25" s="170"/>
      <c r="AA25" s="170"/>
      <c r="AB25" s="170"/>
      <c r="AC25" s="170"/>
    </row>
    <row r="26" spans="1:29" x14ac:dyDescent="0.25">
      <c r="A26" s="60" t="s">
        <v>17</v>
      </c>
      <c r="B26" s="60">
        <v>42.5</v>
      </c>
      <c r="C26" s="79">
        <v>40</v>
      </c>
      <c r="D26" s="79">
        <v>44</v>
      </c>
      <c r="E26" s="80">
        <f>COAHUILA2019!$N10</f>
        <v>739</v>
      </c>
      <c r="F26" s="81">
        <f>COAHUILA2019!$O10</f>
        <v>107869</v>
      </c>
      <c r="G26" s="82">
        <f t="shared" si="6"/>
        <v>6.8509024835680318E-3</v>
      </c>
      <c r="H26" s="83">
        <f t="shared" si="7"/>
        <v>1.982405000396268E-2</v>
      </c>
      <c r="I26" s="84">
        <f t="shared" si="8"/>
        <v>3.341903650520991E-3</v>
      </c>
      <c r="J26" s="138">
        <f>'T.MORTALIDAD-F'!K40</f>
        <v>482357.22883030411</v>
      </c>
      <c r="K26" s="84">
        <f t="shared" si="5"/>
        <v>0.96471445766060826</v>
      </c>
      <c r="L26" s="84">
        <f t="shared" si="9"/>
        <v>3.2239827677663646E-3</v>
      </c>
      <c r="U26" s="170"/>
      <c r="V26" s="170"/>
      <c r="W26" s="170"/>
      <c r="X26" s="170"/>
      <c r="Y26" s="170"/>
      <c r="Z26" s="170"/>
      <c r="AA26" s="170"/>
      <c r="AB26" s="170"/>
      <c r="AC26" s="170"/>
    </row>
    <row r="27" spans="1:29" x14ac:dyDescent="0.25">
      <c r="A27" s="60" t="s">
        <v>18</v>
      </c>
      <c r="B27" s="60">
        <v>47.5</v>
      </c>
      <c r="C27" s="79">
        <v>45</v>
      </c>
      <c r="D27" s="79">
        <v>49</v>
      </c>
      <c r="E27" s="80">
        <f>COAHUILA2019!$N11</f>
        <v>42</v>
      </c>
      <c r="F27" s="81">
        <f>COAHUILA2019!$O11</f>
        <v>101612</v>
      </c>
      <c r="G27" s="82">
        <f t="shared" si="6"/>
        <v>4.1333700744006614E-4</v>
      </c>
      <c r="H27" s="83">
        <f t="shared" si="7"/>
        <v>1.1960487722068151E-3</v>
      </c>
      <c r="I27" s="84">
        <f t="shared" si="8"/>
        <v>2.0162780850734933E-4</v>
      </c>
      <c r="J27" s="138">
        <f>'T.MORTALIDAD-F'!K41</f>
        <v>476293.08674705052</v>
      </c>
      <c r="K27" s="84">
        <f t="shared" si="5"/>
        <v>0.95258617349410102</v>
      </c>
      <c r="L27" s="84">
        <f t="shared" si="9"/>
        <v>1.9206786257601723E-4</v>
      </c>
      <c r="U27" s="170"/>
      <c r="V27" s="170"/>
      <c r="W27" s="170"/>
      <c r="X27" s="170"/>
      <c r="Y27" s="170"/>
      <c r="Z27" s="170"/>
      <c r="AA27" s="170"/>
      <c r="AB27" s="170"/>
      <c r="AC27" s="170"/>
    </row>
    <row r="28" spans="1:29" ht="13" x14ac:dyDescent="0.25">
      <c r="A28" s="85" t="s">
        <v>8</v>
      </c>
      <c r="B28" s="86"/>
      <c r="C28" s="86"/>
      <c r="D28" s="86"/>
      <c r="E28" s="87"/>
      <c r="F28" s="88"/>
      <c r="G28" s="89">
        <f>SUM(G21:G27)</f>
        <v>0.34558541176997576</v>
      </c>
      <c r="H28" s="90"/>
      <c r="I28" s="90"/>
      <c r="J28" s="91"/>
      <c r="K28" s="91"/>
      <c r="L28" s="92">
        <f>SUM(L21:L27)</f>
        <v>0.16521421121979807</v>
      </c>
      <c r="U28" s="170"/>
      <c r="V28" s="170"/>
      <c r="W28" s="170"/>
      <c r="X28" s="170"/>
      <c r="Y28" s="170"/>
      <c r="Z28" s="170"/>
      <c r="AA28" s="170"/>
      <c r="AB28" s="170"/>
      <c r="AC28" s="170"/>
    </row>
    <row r="29" spans="1:29" ht="13" x14ac:dyDescent="0.25">
      <c r="A29" s="93"/>
      <c r="B29" s="93"/>
      <c r="C29" s="93"/>
      <c r="D29" s="93"/>
      <c r="E29" s="93"/>
      <c r="F29" s="94" t="s">
        <v>55</v>
      </c>
      <c r="G29" s="95">
        <f>SUM(G21:G27)*5</f>
        <v>1.7279270588498787</v>
      </c>
      <c r="H29" s="96"/>
      <c r="U29" s="170"/>
      <c r="V29" s="170"/>
      <c r="W29" s="170"/>
      <c r="X29" s="170"/>
      <c r="Y29" s="170"/>
      <c r="Z29" s="170"/>
      <c r="AA29" s="170"/>
      <c r="AB29" s="170"/>
      <c r="AC29" s="170"/>
    </row>
    <row r="30" spans="1:29" ht="13" x14ac:dyDescent="0.25">
      <c r="F30" s="97" t="s">
        <v>56</v>
      </c>
      <c r="G30" s="98"/>
      <c r="H30" s="99"/>
      <c r="I30" s="100">
        <f>G29*J1</f>
        <v>0.84289124821945305</v>
      </c>
      <c r="K30" s="101" t="s">
        <v>73</v>
      </c>
      <c r="L30" s="100">
        <f>G29*COAHUILA2019!R10</f>
        <v>0.84878323403154721</v>
      </c>
      <c r="U30" s="170"/>
      <c r="V30" s="170"/>
      <c r="W30" s="170"/>
      <c r="X30" s="170"/>
      <c r="Y30" s="170"/>
      <c r="Z30" s="170"/>
      <c r="AA30" s="170"/>
      <c r="AB30" s="170"/>
      <c r="AC30" s="170"/>
    </row>
    <row r="31" spans="1:29" ht="13" x14ac:dyDescent="0.25">
      <c r="F31" s="97" t="s">
        <v>57</v>
      </c>
      <c r="G31" s="102"/>
      <c r="H31" s="103"/>
      <c r="I31" s="103"/>
      <c r="J31" s="103"/>
      <c r="K31" s="103"/>
      <c r="L31" s="95">
        <f>L28*5</f>
        <v>0.82607105609899034</v>
      </c>
      <c r="U31" s="170"/>
      <c r="V31" s="170"/>
      <c r="W31" s="170"/>
      <c r="X31" s="170"/>
      <c r="Y31" s="170"/>
      <c r="Z31" s="170"/>
      <c r="AA31" s="170"/>
      <c r="AB31" s="170"/>
      <c r="AC31" s="170"/>
    </row>
    <row r="32" spans="1:29" x14ac:dyDescent="0.25">
      <c r="U32" s="170"/>
      <c r="V32" s="170"/>
      <c r="W32" s="170"/>
      <c r="X32" s="170"/>
      <c r="Y32" s="170"/>
      <c r="Z32" s="170"/>
      <c r="AA32" s="170"/>
      <c r="AB32" s="170"/>
      <c r="AC32" s="170"/>
    </row>
    <row r="33" spans="10:29" x14ac:dyDescent="0.25">
      <c r="U33" s="170"/>
      <c r="V33" s="170"/>
      <c r="W33" s="170"/>
      <c r="X33" s="170"/>
      <c r="Y33" s="170"/>
      <c r="Z33" s="170"/>
      <c r="AA33" s="170"/>
      <c r="AB33" s="170"/>
      <c r="AC33" s="170"/>
    </row>
    <row r="34" spans="10:29" x14ac:dyDescent="0.25">
      <c r="J34" s="22"/>
      <c r="K34" s="22" t="s">
        <v>29</v>
      </c>
      <c r="L34" s="22" t="s">
        <v>90</v>
      </c>
      <c r="U34" s="170"/>
      <c r="V34" s="170"/>
      <c r="W34" s="170"/>
      <c r="X34" s="170"/>
      <c r="Y34" s="170"/>
      <c r="Z34" s="170"/>
      <c r="AA34" s="170"/>
      <c r="AB34" s="170"/>
      <c r="AC34" s="170"/>
    </row>
    <row r="35" spans="10:29" x14ac:dyDescent="0.25">
      <c r="J35" s="111" t="s">
        <v>56</v>
      </c>
      <c r="K35" s="165">
        <v>1.1772661463127878</v>
      </c>
      <c r="L35" s="166">
        <v>0.84289124821945305</v>
      </c>
      <c r="U35" s="170"/>
      <c r="V35" s="170"/>
      <c r="W35" s="170"/>
      <c r="X35" s="170"/>
      <c r="Y35" s="170"/>
      <c r="Z35" s="170"/>
      <c r="AA35" s="170"/>
      <c r="AB35" s="170"/>
      <c r="AC35" s="170"/>
    </row>
    <row r="36" spans="10:29" x14ac:dyDescent="0.25">
      <c r="J36" s="22" t="s">
        <v>57</v>
      </c>
      <c r="K36" s="167">
        <v>1.1772661463127878</v>
      </c>
      <c r="L36" s="168">
        <v>0.82607105609899034</v>
      </c>
      <c r="U36" s="170"/>
      <c r="V36" s="170"/>
      <c r="W36" s="170"/>
      <c r="X36" s="170"/>
      <c r="Y36" s="170"/>
      <c r="Z36" s="170"/>
      <c r="AA36" s="170"/>
      <c r="AB36" s="170"/>
      <c r="AC36" s="170"/>
    </row>
    <row r="37" spans="10:29" x14ac:dyDescent="0.25">
      <c r="J37" s="58"/>
      <c r="K37" s="58"/>
      <c r="L37" s="58"/>
    </row>
  </sheetData>
  <mergeCells count="1">
    <mergeCell ref="U3:AC36"/>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PBrush" shapeId="4097" r:id="rId4">
          <objectPr defaultSize="0" autoPict="0" r:id="rId5">
            <anchor moveWithCells="1" sizeWithCells="1">
              <from>
                <xdr:col>3</xdr:col>
                <xdr:colOff>0</xdr:colOff>
                <xdr:row>11</xdr:row>
                <xdr:rowOff>63500</xdr:rowOff>
              </from>
              <to>
                <xdr:col>4</xdr:col>
                <xdr:colOff>838200</xdr:colOff>
                <xdr:row>13</xdr:row>
                <xdr:rowOff>152400</xdr:rowOff>
              </to>
            </anchor>
          </objectPr>
        </oleObject>
      </mc:Choice>
      <mc:Fallback>
        <oleObject progId="PBrush" shapeId="409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COAHUILA2010</vt:lpstr>
      <vt:lpstr>COAHUILA2019</vt:lpstr>
      <vt:lpstr>T.MORTALIDAD-F</vt:lpstr>
      <vt:lpstr>Cuadros a, b, c</vt:lpstr>
      <vt:lpstr>TGF, TBR y TNR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Regina Martínez</dc:creator>
  <cp:lastModifiedBy>Regina Martínez</cp:lastModifiedBy>
  <dcterms:created xsi:type="dcterms:W3CDTF">2026-06-04T15:57:48Z</dcterms:created>
  <dcterms:modified xsi:type="dcterms:W3CDTF">2026-06-04T23:48:40Z</dcterms:modified>
</cp:coreProperties>
</file>